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7ce1f6b7b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对比" sheetId="1" r:id="R1411d18421dd42bd"/>
    <x:sheet xmlns:r="http://schemas.openxmlformats.org/officeDocument/2006/relationships" name="现行基线" sheetId="2" r:id="Rbbae1ea09578478b"/>
    <x:sheet xmlns:r="http://schemas.openxmlformats.org/officeDocument/2006/relationships" name="StaffBranch草案" sheetId="3" r:id="R69134d5c55b14aef"/>
    <x:sheet xmlns:r="http://schemas.openxmlformats.org/officeDocument/2006/relationships" name="场景估算" sheetId="4" r:id="Rcf3861fd7db94c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%"/>
  </x:numFmts>
  <x:fonts count="7">
    <x:font>
      <x:sz val="11"/>
      <x:name val="Carlito"/>
    </x:font>
    <x:font>
      <x:sz val="11"/>
      <x:name val="Arial"/>
    </x:font>
    <x:font>
      <x:sz val="11"/>
      <x:color rgb="FF294E43"/>
      <x:name val="Arial"/>
    </x:font>
    <x:font>
      <x:sz val="16"/>
      <x:color rgb="FF294E43"/>
      <x:name val="Arial"/>
    </x:font>
    <x:font>
      <x:b/>
      <x:sz val="16"/>
      <x:color rgb="FF294E43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5584D"/>
      </x:patternFill>
    </x:fill>
    <x:fill>
      <x:patternFill patternType="solid">
        <x:fgColor rgb="FFE7EEE9"/>
      </x:patternFill>
    </x:fill>
    <x:fill>
      <x:patternFill patternType="solid">
        <x:fgColor rgb="FFEEF1E8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1" fontId="2" fillId="4" borderId="0" xfId="0" applyNumberFormat="1" applyFont="1" applyFill="1" applyBorder="1" applyAlignment="1">
      <x:alignment vertical="center"/>
    </x:xf>
    <x:xf numFmtId="202" fontId="2" fillId="4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59c166bcf41fe" /><Relationship Type="http://schemas.openxmlformats.org/officeDocument/2006/relationships/theme" Target="/xl/theme/theme1.xml" Id="Raca8742a322842eb" /><Relationship Type="http://schemas.openxmlformats.org/officeDocument/2006/relationships/sharedStrings" Target="/xl/sharedStrings.xml" Id="Rc7d5b2ed38644dd2" /><Relationship Type="http://schemas.openxmlformats.org/officeDocument/2006/relationships/worksheet" Target="/xl/worksheets/sheet1.xml" Id="R1411d18421dd42bd" /><Relationship Type="http://schemas.openxmlformats.org/officeDocument/2006/relationships/worksheet" Target="/xl/worksheets/sheet2.xml" Id="Rbbae1ea09578478b" /><Relationship Type="http://schemas.openxmlformats.org/officeDocument/2006/relationships/worksheet" Target="/xl/worksheets/sheet3.xml" Id="R69134d5c55b14aef" /><Relationship Type="http://schemas.openxmlformats.org/officeDocument/2006/relationships/worksheet" Target="/xl/worksheets/sheet4.xml" Id="Rcf3861fd7db94c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2" hidden="0" customWidth="1"/>
    <x:col min="12" max="12" width="3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40" customHeight="1">
      <x:c r="A2" s="6" t="str">
        <x:v>三名初始店员 · 三级分支升级数值草案 v0.1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3"/>
      <x:c r="N2" s="3"/>
      <x:c r="O2" s="3"/>
      <x:c r="P2" s="3"/>
      <x:c r="Q2" s="3"/>
      <x:c r="R2" s="3"/>
    </x:row>
    <x:row r="3" ht="40" customHeight="1">
      <x:c r="A3" s="4" t="str">
        <x:v>仅设计，未接入游戏。一级、二级与升级费用保持现状；每个实例在升三级时二选一。DPS为持续有目标时的名义输出，不等于实战胜率。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3"/>
      <x:c r="N3" s="3"/>
      <x:c r="O3" s="3"/>
      <x:c r="P3" s="3"/>
      <x:c r="Q3" s="3"/>
      <x:c r="R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34" customHeight="1">
      <x:c r="A5" s="10" t="str">
        <x:v>店员</x:v>
      </x:c>
      <x:c r="B5" s="10" t="str">
        <x:v>三级方案</x:v>
      </x:c>
      <x:c r="C5" s="10" t="str">
        <x:v>升级费</x:v>
      </x:c>
      <x:c r="D5" s="10" t="str">
        <x:v>累计成本</x:v>
      </x:c>
      <x:c r="E5" s="10" t="str">
        <x:v>每发伤害</x:v>
      </x:c>
      <x:c r="F5" s="10" t="str">
        <x:v>连发数</x:v>
      </x:c>
      <x:c r="G5" s="10" t="str">
        <x:v>周期/秒</x:v>
      </x:c>
      <x:c r="H5" s="10" t="str">
        <x:v>射程</x:v>
      </x:c>
      <x:c r="I5" s="10" t="str">
        <x:v>单体DPS</x:v>
      </x:c>
      <x:c r="J5" s="10" t="str">
        <x:v>对原三级</x:v>
      </x:c>
      <x:c r="K5" s="10" t="str">
        <x:v>适合场景</x:v>
      </x:c>
      <x:c r="L5" s="10" t="str">
        <x:v>主要代价</x:v>
      </x:c>
      <x:c r="M5" s="3"/>
      <x:c r="N5" s="3"/>
      <x:c r="O5" s="3"/>
      <x:c r="P5" s="3"/>
      <x:c r="Q5" s="3"/>
      <x:c r="R5" s="3"/>
    </x:row>
    <x:row r="6" ht="25" customHeight="1">
      <x:c r="A6" s="17" t="str">
        <x:v>豆包</x:v>
      </x:c>
      <x:c r="B6" s="17" t="str">
        <x:v>现行三级</x:v>
      </x:c>
      <x:c r="C6" s="17" t="n">
        <x:f>'现行基线'!F27</x:f>
        <x:v>85</x:v>
      </x:c>
      <x:c r="D6" s="17" t="n">
        <x:f>'现行基线'!G27</x:f>
        <x:v>234</x:v>
      </x:c>
      <x:c r="E6" s="18" t="n">
        <x:f>'现行基线'!C27</x:f>
        <x:v>24.48</x:v>
      </x:c>
      <x:c r="F6" s="19" t="n">
        <x:f>1</x:f>
        <x:v>1</x:v>
      </x:c>
      <x:c r="G6" s="18" t="n">
        <x:f>'现行基线'!D27</x:f>
        <x:v>0.5806451612903225</x:v>
      </x:c>
      <x:c r="H6" s="18" t="n">
        <x:f>'现行基线'!E27</x:f>
        <x:v>102.08</x:v>
      </x:c>
      <x:c r="I6" s="18" t="n">
        <x:f>E6*F6/G6</x:f>
        <x:v>42.160000000000004</x:v>
      </x:c>
      <x:c r="J6" s="20" t="n">
        <x:f>I6/'现行基线'!H27-1</x:f>
        <x:v>0</x:v>
      </x:c>
      <x:c r="K6" s="17" t="str">
        <x:v>现行对照</x:v>
      </x:c>
      <x:c r="L6" s="17" t="str">
        <x:v>原有均衡表现</x:v>
      </x:c>
      <x:c r="M6" s="3"/>
      <x:c r="N6" s="3"/>
      <x:c r="O6" s="3"/>
      <x:c r="P6" s="3"/>
      <x:c r="Q6" s="3"/>
      <x:c r="R6" s="3"/>
    </x:row>
    <x:row r="7" ht="25" customHeight="1">
      <x:c r="A7" s="3" t="str">
        <x:v>豆包</x:v>
      </x:c>
      <x:c r="B7" s="3" t="str">
        <x:v>重投</x:v>
      </x:c>
      <x:c r="C7" s="3" t="n">
        <x:f>'现行基线'!F27</x:f>
        <x:v>85</x:v>
      </x:c>
      <x:c r="D7" s="3" t="n">
        <x:f>'现行基线'!G27</x:f>
        <x:v>234</x:v>
      </x:c>
      <x:c r="E7" s="11" t="n">
        <x:f>'StaffBranch草案'!G6</x:f>
        <x:v>42</x:v>
      </x:c>
      <x:c r="F7" s="16" t="n">
        <x:f>'StaffBranch草案'!J6</x:f>
        <x:v>1</x:v>
      </x:c>
      <x:c r="G7" s="11" t="n">
        <x:f>'StaffBranch草案'!H6</x:f>
        <x:v>0.96</x:v>
      </x:c>
      <x:c r="H7" s="11" t="n">
        <x:f>'StaffBranch草案'!I6</x:f>
        <x:v>100</x:v>
      </x:c>
      <x:c r="I7" s="11" t="n">
        <x:f>E7*F7/G7</x:f>
        <x:v>43.75</x:v>
      </x:c>
      <x:c r="J7" s="21" t="n">
        <x:f>I7/'现行基线'!H27-1</x:f>
        <x:v>0.037713472485768396</x:v>
      </x:c>
      <x:c r="K7" s="3" t="str">
        <x:v>中高耐久单体</x:v>
      </x:c>
      <x:c r="L7" s="3" t="str">
        <x:v>攻击间隔长，低血怪易溢出</x:v>
      </x:c>
      <x:c r="M7" s="3"/>
      <x:c r="N7" s="3"/>
      <x:c r="O7" s="3"/>
      <x:c r="P7" s="3"/>
      <x:c r="Q7" s="3"/>
      <x:c r="R7" s="3"/>
    </x:row>
    <x:row r="8" ht="25" customHeight="1">
      <x:c r="A8" s="3" t="str">
        <x:v>豆包</x:v>
      </x:c>
      <x:c r="B8" s="3" t="str">
        <x:v>连投</x:v>
      </x:c>
      <x:c r="C8" s="3" t="n">
        <x:f>'现行基线'!F27</x:f>
        <x:v>85</x:v>
      </x:c>
      <x:c r="D8" s="3" t="n">
        <x:f>'现行基线'!G27</x:f>
        <x:v>234</x:v>
      </x:c>
      <x:c r="E8" s="11" t="n">
        <x:f>'StaffBranch草案'!G7</x:f>
        <x:v>15</x:v>
      </x:c>
      <x:c r="F8" s="16" t="n">
        <x:f>'StaffBranch草案'!J7</x:f>
        <x:v>2</x:v>
      </x:c>
      <x:c r="G8" s="11" t="n">
        <x:f>'StaffBranch草案'!H7</x:f>
        <x:v>0.72</x:v>
      </x:c>
      <x:c r="H8" s="11" t="n">
        <x:f>'StaffBranch草案'!I7</x:f>
        <x:v>106</x:v>
      </x:c>
      <x:c r="I8" s="11" t="n">
        <x:f>E8*F8/G8</x:f>
        <x:v>41.66666666666667</x:v>
      </x:c>
      <x:c r="J8" s="21" t="n">
        <x:f>I8/'现行基线'!H27-1</x:f>
        <x:v>-0.011701454775458586</x:v>
      </x:c>
      <x:c r="K8" s="3" t="str">
        <x:v>连续杂兵、补刀</x:v>
      </x:c>
      <x:c r="L8" s="3" t="str">
        <x:v>每发伤害低，持续单体略降</x:v>
      </x:c>
      <x:c r="M8" s="3"/>
      <x:c r="N8" s="3"/>
      <x:c r="O8" s="3"/>
      <x:c r="P8" s="3"/>
      <x:c r="Q8" s="3"/>
      <x:c r="R8" s="3"/>
    </x:row>
    <x:row r="9" ht="25" customHeight="1">
      <x:c r="A9" s="17" t="str">
        <x:v>棉棉</x:v>
      </x:c>
      <x:c r="B9" s="17" t="str">
        <x:v>现行三级</x:v>
      </x:c>
      <x:c r="C9" s="17" t="n">
        <x:f>'现行基线'!F30</x:f>
        <x:v>110</x:v>
      </x:c>
      <x:c r="D9" s="17" t="n">
        <x:f>'现行基线'!G30</x:f>
        <x:v>303</x:v>
      </x:c>
      <x:c r="E9" s="18" t="n">
        <x:f>'现行基线'!C30</x:f>
        <x:v>16.32</x:v>
      </x:c>
      <x:c r="F9" s="19" t="n">
        <x:f>1</x:f>
        <x:v>1</x:v>
      </x:c>
      <x:c r="G9" s="18" t="n">
        <x:f>'现行基线'!D30</x:f>
        <x:v>0.870967741935484</x:v>
      </x:c>
      <x:c r="H9" s="18" t="n">
        <x:f>'现行基线'!E30</x:f>
        <x:v>99.75999999999999</x:v>
      </x:c>
      <x:c r="I9" s="18" t="n">
        <x:f>E9*F9/G9</x:f>
        <x:v>18.737777777777776</x:v>
      </x:c>
      <x:c r="J9" s="20" t="n">
        <x:f>I9/'现行基线'!H30-1</x:f>
        <x:v>0</x:v>
      </x:c>
      <x:c r="K9" s="17" t="str">
        <x:v>现行对照</x:v>
      </x:c>
      <x:c r="L9" s="17" t="str">
        <x:v>原有均衡表现</x:v>
      </x:c>
      <x:c r="M9" s="3"/>
      <x:c r="N9" s="3"/>
      <x:c r="O9" s="3"/>
      <x:c r="P9" s="3"/>
      <x:c r="Q9" s="3"/>
      <x:c r="R9" s="3"/>
    </x:row>
    <x:row r="10" ht="25" customHeight="1">
      <x:c r="A10" s="3" t="str">
        <x:v>棉棉</x:v>
      </x:c>
      <x:c r="B10" s="3" t="str">
        <x:v>深冷</x:v>
      </x:c>
      <x:c r="C10" s="3" t="n">
        <x:f>'现行基线'!F30</x:f>
        <x:v>110</x:v>
      </x:c>
      <x:c r="D10" s="3" t="n">
        <x:f>'现行基线'!G30</x:f>
        <x:v>303</x:v>
      </x:c>
      <x:c r="E10" s="11" t="n">
        <x:f>'StaffBranch草案'!G8</x:f>
        <x:v>12</x:v>
      </x:c>
      <x:c r="F10" s="16" t="n">
        <x:f>'StaffBranch草案'!J8</x:f>
        <x:v>1</x:v>
      </x:c>
      <x:c r="G10" s="11" t="n">
        <x:f>'StaffBranch草案'!H8</x:f>
        <x:v>1.05</x:v>
      </x:c>
      <x:c r="H10" s="11" t="n">
        <x:f>'StaffBranch草案'!I8</x:f>
        <x:v>92</x:v>
      </x:c>
      <x:c r="I10" s="11" t="n">
        <x:f>E10*F10/G10</x:f>
        <x:v>11.428571428571429</x:v>
      </x:c>
      <x:c r="J10" s="21" t="n">
        <x:f>I10/'现行基线'!H30-1</x:f>
        <x:v>-0.39007861208999717</x:v>
      </x:c>
      <x:c r="K10" s="3" t="str">
        <x:v>控制首领，配合输出</x:v>
      </x:c>
      <x:c r="L10" s="3" t="str">
        <x:v>攻击与射程下降，只控一个</x:v>
      </x:c>
      <x:c r="M10" s="3"/>
      <x:c r="N10" s="3"/>
      <x:c r="O10" s="3"/>
      <x:c r="P10" s="3"/>
      <x:c r="Q10" s="3"/>
      <x:c r="R10" s="3"/>
    </x:row>
    <x:row r="11" ht="25" customHeight="1">
      <x:c r="A11" s="3" t="str">
        <x:v>棉棉</x:v>
      </x:c>
      <x:c r="B11" s="3" t="str">
        <x:v>双向冷风</x:v>
      </x:c>
      <x:c r="C11" s="3" t="n">
        <x:f>'现行基线'!F30</x:f>
        <x:v>110</x:v>
      </x:c>
      <x:c r="D11" s="3" t="n">
        <x:f>'现行基线'!G30</x:f>
        <x:v>303</x:v>
      </x:c>
      <x:c r="E11" s="11" t="n">
        <x:f>'StaffBranch草案'!G9</x:f>
        <x:v>12</x:v>
      </x:c>
      <x:c r="F11" s="16" t="n">
        <x:f>'StaffBranch草案'!J9</x:f>
        <x:v>1</x:v>
      </x:c>
      <x:c r="G11" s="11" t="n">
        <x:f>'StaffBranch草案'!H9</x:f>
        <x:v>1</x:v>
      </x:c>
      <x:c r="H11" s="11" t="n">
        <x:f>'StaffBranch草案'!I9</x:f>
        <x:v>108</x:v>
      </x:c>
      <x:c r="I11" s="11" t="n">
        <x:f>E11*F11/G11</x:f>
        <x:v>12</x:v>
      </x:c>
      <x:c r="J11" s="21" t="n">
        <x:f>I11/'现行基线'!H30-1</x:f>
        <x:v>-0.3595825426944971</x:v>
      </x:c>
      <x:c r="K11" s="3" t="str">
        <x:v>分散控制两名敌人</x:v>
      </x:c>
      <x:c r="L11" s="3" t="str">
        <x:v>每目标控制弱于原三级</x:v>
      </x:c>
      <x:c r="M11" s="3"/>
      <x:c r="N11" s="3"/>
      <x:c r="O11" s="3"/>
      <x:c r="P11" s="3"/>
      <x:c r="Q11" s="3"/>
      <x:c r="R11" s="3"/>
    </x:row>
    <x:row r="12" ht="25" customHeight="1">
      <x:c r="A12" s="17" t="str">
        <x:v>布丁</x:v>
      </x:c>
      <x:c r="B12" s="17" t="str">
        <x:v>现行三级</x:v>
      </x:c>
      <x:c r="C12" s="17" t="n">
        <x:f>'现行基线'!F33</x:f>
        <x:v>150</x:v>
      </x:c>
      <x:c r="D12" s="17" t="n">
        <x:f>'现行基线'!G33</x:f>
        <x:v>413</x:v>
      </x:c>
      <x:c r="E12" s="18" t="n">
        <x:f>'现行基线'!C33</x:f>
        <x:v>46.92</x:v>
      </x:c>
      <x:c r="F12" s="19" t="n">
        <x:f>1</x:f>
        <x:v>1</x:v>
      </x:c>
      <x:c r="G12" s="18" t="n">
        <x:f>'现行基线'!D33</x:f>
        <x:v>1.2258064516129032</x:v>
      </x:c>
      <x:c r="H12" s="18" t="n">
        <x:f>'现行基线'!E33</x:f>
        <x:v>115.99999999999999</x:v>
      </x:c>
      <x:c r="I12" s="18" t="n">
        <x:f>E12*F12/G12</x:f>
        <x:v>38.27684210526316</x:v>
      </x:c>
      <x:c r="J12" s="20" t="n">
        <x:f>I12/'现行基线'!H33-1</x:f>
        <x:v>0</x:v>
      </x:c>
      <x:c r="K12" s="17" t="str">
        <x:v>现行对照</x:v>
      </x:c>
      <x:c r="L12" s="17" t="str">
        <x:v>原有均衡表现</x:v>
      </x:c>
      <x:c r="M12" s="3"/>
      <x:c r="N12" s="3"/>
      <x:c r="O12" s="3"/>
      <x:c r="P12" s="3"/>
      <x:c r="Q12" s="3"/>
      <x:c r="R12" s="3"/>
    </x:row>
    <x:row r="13" ht="25" customHeight="1">
      <x:c r="A13" s="3" t="str">
        <x:v>布丁</x:v>
      </x:c>
      <x:c r="B13" s="3" t="str">
        <x:v>集中爆破</x:v>
      </x:c>
      <x:c r="C13" s="3" t="n">
        <x:f>'现行基线'!F33</x:f>
        <x:v>150</x:v>
      </x:c>
      <x:c r="D13" s="3" t="n">
        <x:f>'现行基线'!G33</x:f>
        <x:v>413</x:v>
      </x:c>
      <x:c r="E13" s="11" t="n">
        <x:f>'StaffBranch草案'!G10</x:f>
        <x:v>64</x:v>
      </x:c>
      <x:c r="F13" s="16" t="n">
        <x:f>'StaffBranch草案'!J10</x:f>
        <x:v>1</x:v>
      </x:c>
      <x:c r="G13" s="11" t="n">
        <x:f>'StaffBranch草案'!H10</x:f>
        <x:v>1.4</x:v>
      </x:c>
      <x:c r="H13" s="11" t="n">
        <x:f>'StaffBranch草案'!I10</x:f>
        <x:v>110</x:v>
      </x:c>
      <x:c r="I13" s="11" t="n">
        <x:f>E13*F13/G13</x:f>
        <x:v>45.714285714285715</x:v>
      </x:c>
      <x:c r="J13" s="21" t="n">
        <x:f>I13/'现行基线'!H33-1</x:f>
        <x:v>0.1943066146514707</x:v>
      </x:c>
      <x:c r="K13" s="3" t="str">
        <x:v>厚血主目标、指定清障</x:v>
      </x:c>
      <x:c r="L13" s="3" t="str">
        <x:v>爆炸范围小，旁伤仅45%</x:v>
      </x:c>
      <x:c r="M13" s="3"/>
      <x:c r="N13" s="3"/>
      <x:c r="O13" s="3"/>
      <x:c r="P13" s="3"/>
      <x:c r="Q13" s="3"/>
      <x:c r="R13" s="3"/>
    </x:row>
    <x:row r="14" ht="25" customHeight="1">
      <x:c r="A14" s="3" t="str">
        <x:v>布丁</x:v>
      </x:c>
      <x:c r="B14" s="3" t="str">
        <x:v>广域爆破</x:v>
      </x:c>
      <x:c r="C14" s="3" t="n">
        <x:f>'现行基线'!F33</x:f>
        <x:v>150</x:v>
      </x:c>
      <x:c r="D14" s="3" t="n">
        <x:f>'现行基线'!G33</x:f>
        <x:v>413</x:v>
      </x:c>
      <x:c r="E14" s="11" t="n">
        <x:f>'StaffBranch草案'!G11</x:f>
        <x:v>35</x:v>
      </x:c>
      <x:c r="F14" s="16" t="n">
        <x:f>'StaffBranch草案'!J11</x:f>
        <x:v>1</x:v>
      </x:c>
      <x:c r="G14" s="11" t="n">
        <x:f>'StaffBranch草案'!H11</x:f>
        <x:v>1.2</x:v>
      </x:c>
      <x:c r="H14" s="11" t="n">
        <x:f>'StaffBranch草案'!I11</x:f>
        <x:v>118</x:v>
      </x:c>
      <x:c r="I14" s="11" t="n">
        <x:f>E14*F14/G14</x:f>
        <x:v>29.166666666666668</x:v>
      </x:c>
      <x:c r="J14" s="21" t="n">
        <x:f>I14/'现行基线'!H33-1</x:f>
        <x:v>-0.23800749846455638</x:v>
      </x:c>
      <x:c r="K14" s="3" t="str">
        <x:v>密集队列、转弯聚怪</x:v>
      </x:c>
      <x:c r="L14" s="3" t="str">
        <x:v>单体DPS下降约24%</x:v>
      </x:c>
      <x:c r="M14" s="3"/>
      <x:c r="N14" s="3"/>
      <x:c r="O14" s="3"/>
      <x:c r="P14" s="3"/>
      <x:c r="Q14" s="3"/>
      <x:c r="R14" s="3"/>
    </x:row>
    <x:row r="15" ht="2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</x:row>
    <x:row r="17" ht="40" customHeight="1">
      <x:c r="A17" s="4" t="str">
        <x:v>棉棉：深冷=速度45%、持续1.6秒、单目标；双向冷风=速度70%、持续1.3秒、两个不同目标，只有一个目标时不补第二发。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3"/>
      <x:c r="N17" s="3"/>
      <x:c r="O17" s="3"/>
      <x:c r="P17" s="3"/>
      <x:c r="Q17" s="3"/>
      <x:c r="R17" s="3"/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</x:row>
    <x:row r="19" ht="40" customHeight="1">
      <x:c r="A19" s="4" t="str">
        <x:v>布丁：集中爆破半径26、旁伤45%；广域爆破半径54、全区35伤害。指定清障仍只伤害所选杂物，不增加连锁清障。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3"/>
      <x:c r="N19" s="3"/>
      <x:c r="O19" s="3"/>
      <x:c r="P19" s="3"/>
      <x:c r="Q19" s="3"/>
      <x:c r="R19" s="3"/>
    </x:row>
    <x:row r="20" ht="2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</x:row>
    <x:row r="21" ht="2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</x:row>
    <x:row r="24" ht="2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</x:row>
    <x:row r="25" ht="2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</x:row>
    <x:row r="26" ht="2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</x:row>
    <x:row r="27" ht="2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</x:row>
    <x:row r="29" ht="2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</x:row>
    <x:row r="30" ht="2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</x:row>
  </x:sheetData>
  <x:mergeCells>
    <x:mergeCell ref="A2:L2"/>
    <x:mergeCell ref="A3:L3"/>
    <x:mergeCell ref="A17:L17"/>
    <x:mergeCell ref="A19:L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2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40" customHeight="1">
      <x:c r="A2" s="6" t="str">
        <x:v>现行数值基线 · 客户端1.1.0 / 7f35eb7</x:v>
      </x:c>
      <x:c r="B2" s="6"/>
      <x:c r="C2" s="6"/>
      <x:c r="D2" s="6"/>
      <x:c r="E2" s="6"/>
      <x:c r="F2" s="6"/>
      <x:c r="G2" s="6"/>
      <x:c r="H2" s="6"/>
      <x:c r="I2" s="6"/>
      <x:c r="J2" s="3"/>
      <x:c r="K2" s="3"/>
      <x:c r="L2" s="3"/>
      <x:c r="M2" s="3"/>
      <x:c r="N2" s="3"/>
      <x:c r="O2" s="3"/>
      <x:c r="P2" s="3"/>
      <x:c r="Q2" s="3"/>
      <x:c r="R2" s="3"/>
    </x:row>
    <x:row r="3" ht="40" customHeight="1">
      <x:c r="A3" s="4" t="str">
        <x:v>来源：assets/resources/config/Staff.csv、Global.csv；升级公式与出售取整核对GameRoot.ts。这里只保存本次设计的来源快照。</x:v>
      </x:c>
      <x:c r="B3" s="4"/>
      <x:c r="C3" s="4"/>
      <x:c r="D3" s="4"/>
      <x:c r="E3" s="4"/>
      <x:c r="F3" s="4"/>
      <x:c r="G3" s="4"/>
      <x:c r="H3" s="4"/>
      <x:c r="I3" s="4"/>
      <x:c r="J3" s="3"/>
      <x:c r="K3" s="3"/>
      <x:c r="L3" s="3"/>
      <x:c r="M3" s="3"/>
      <x:c r="N3" s="3"/>
      <x:c r="O3" s="3"/>
      <x:c r="P3" s="3"/>
      <x:c r="Q3" s="3"/>
      <x:c r="R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34" customHeight="1">
      <x:c r="A5" s="10" t="str">
        <x:v>角色键</x:v>
      </x:c>
      <x:c r="B5" s="10" t="str">
        <x:v>店员</x:v>
      </x:c>
      <x:c r="C5" s="10" t="str">
        <x:v>建造费</x:v>
      </x:c>
      <x:c r="D5" s="10" t="str">
        <x:v>基础伤害</x:v>
      </x:c>
      <x:c r="E5" s="10" t="str">
        <x:v>基础周期/秒</x:v>
      </x:c>
      <x:c r="F5" s="10" t="str">
        <x:v>基础射程</x:v>
      </x:c>
      <x:c r="G5" s="10" t="str">
        <x:v>减速基础秒</x:v>
      </x:c>
      <x:c r="H5" s="10" t="str">
        <x:v>每级加时/秒</x:v>
      </x:c>
      <x:c r="I5" s="10" t="str">
        <x:v>爆炸半径</x:v>
      </x:c>
      <x:c r="J5" s="3"/>
      <x:c r="K5" s="3"/>
      <x:c r="L5" s="3"/>
      <x:c r="M5" s="3"/>
      <x:c r="N5" s="3"/>
      <x:c r="O5" s="3"/>
      <x:c r="P5" s="3"/>
      <x:c r="Q5" s="3"/>
      <x:c r="R5" s="3"/>
    </x:row>
    <x:row r="6" ht="25" customHeight="1">
      <x:c r="A6" s="3" t="str">
        <x:v>sprout</x:v>
      </x:c>
      <x:c r="B6" s="3" t="str">
        <x:v>豆包</x:v>
      </x:c>
      <x:c r="C6" s="11" t="n">
        <x:v>85</x:v>
      </x:c>
      <x:c r="D6" s="11" t="n">
        <x:v>12</x:v>
      </x:c>
      <x:c r="E6" s="11" t="n">
        <x:v>0.72</x:v>
      </x:c>
      <x:c r="F6" s="11" t="n">
        <x:v>88</x:v>
      </x:c>
      <x:c r="G6" s="11" t="n">
        <x:v>0</x:v>
      </x:c>
      <x:c r="H6" s="11" t="n">
        <x:v>0</x:v>
      </x:c>
      <x:c r="I6" s="11" t="n">
        <x:v>0</x:v>
      </x:c>
      <x:c r="J6" s="3"/>
      <x:c r="K6" s="3"/>
      <x:c r="L6" s="3"/>
      <x:c r="M6" s="3"/>
      <x:c r="N6" s="3"/>
      <x:c r="O6" s="3"/>
      <x:c r="P6" s="3"/>
      <x:c r="Q6" s="3"/>
      <x:c r="R6" s="3"/>
    </x:row>
    <x:row r="7" ht="25" customHeight="1">
      <x:c r="A7" s="3" t="str">
        <x:v>frost</x:v>
      </x:c>
      <x:c r="B7" s="3" t="str">
        <x:v>棉棉</x:v>
      </x:c>
      <x:c r="C7" s="11" t="n">
        <x:v>110</x:v>
      </x:c>
      <x:c r="D7" s="11" t="n">
        <x:v>8</x:v>
      </x:c>
      <x:c r="E7" s="11" t="n">
        <x:v>1.08</x:v>
      </x:c>
      <x:c r="F7" s="11" t="n">
        <x:v>86</x:v>
      </x:c>
      <x:c r="G7" s="11" t="n">
        <x:v>1.35</x:v>
      </x:c>
      <x:c r="H7" s="11" t="n">
        <x:v>0.2</x:v>
      </x:c>
      <x:c r="I7" s="11" t="n">
        <x:v>0</x:v>
      </x:c>
      <x:c r="J7" s="3"/>
      <x:c r="K7" s="3"/>
      <x:c r="L7" s="3"/>
      <x:c r="M7" s="3"/>
      <x:c r="N7" s="3"/>
      <x:c r="O7" s="3"/>
      <x:c r="P7" s="3"/>
      <x:c r="Q7" s="3"/>
      <x:c r="R7" s="3"/>
    </x:row>
    <x:row r="8" ht="25" customHeight="1">
      <x:c r="A8" s="3" t="str">
        <x:v>bloom</x:v>
      </x:c>
      <x:c r="B8" s="3" t="str">
        <x:v>布丁</x:v>
      </x:c>
      <x:c r="C8" s="11" t="n">
        <x:v>150</x:v>
      </x:c>
      <x:c r="D8" s="11" t="n">
        <x:v>23</x:v>
      </x:c>
      <x:c r="E8" s="11" t="n">
        <x:v>1.52</x:v>
      </x:c>
      <x:c r="F8" s="11" t="n">
        <x:v>100</x:v>
      </x:c>
      <x:c r="G8" s="11" t="n">
        <x:v>0</x:v>
      </x:c>
      <x:c r="H8" s="11" t="n">
        <x:v>0</x:v>
      </x:c>
      <x:c r="I8" s="11" t="n">
        <x:v>38</x:v>
      </x:c>
      <x:c r="J8" s="3"/>
      <x:c r="K8" s="3"/>
      <x:c r="L8" s="3"/>
      <x:c r="M8" s="3"/>
      <x:c r="N8" s="3"/>
      <x:c r="O8" s="3"/>
      <x:c r="P8" s="3"/>
      <x:c r="Q8" s="3"/>
      <x:c r="R8" s="3"/>
    </x:row>
    <x:row r="9" ht="2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</x:row>
    <x:row r="10" ht="2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</x:row>
    <x:row r="11" ht="34" customHeight="1">
      <x:c r="A11" s="10" t="str">
        <x:v>Global参数</x:v>
      </x:c>
      <x:c r="B11" s="10" t="str">
        <x:v>当前值</x:v>
      </x:c>
      <x:c r="C11" s="10" t="str">
        <x:v>含义</x:v>
      </x:c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</x:row>
    <x:row r="12" ht="40" customHeight="1">
      <x:c r="A12" s="3" t="str">
        <x:v>upgradeDamage</x:v>
      </x:c>
      <x:c r="B12" s="11" t="n">
        <x:v>0.52</x:v>
      </x:c>
      <x:c r="C12" s="3" t="str">
        <x:v>每升一级的伤害增幅</x:v>
      </x:c>
      <x:c r="D12" s="3"/>
      <x:c r="E12" s="4" t="str">
        <x:v>三级属性按原公式计算，展示保留2位。
费用四舍五入，出售向下取整。</x:v>
      </x:c>
      <x:c r="F12" s="4"/>
      <x:c r="G12" s="4"/>
      <x:c r="H12" s="4"/>
      <x:c r="I12" s="4"/>
      <x:c r="J12" s="3"/>
      <x:c r="K12" s="3"/>
      <x:c r="L12" s="3"/>
      <x:c r="M12" s="3"/>
      <x:c r="N12" s="3"/>
      <x:c r="O12" s="3"/>
      <x:c r="P12" s="3"/>
      <x:c r="Q12" s="3"/>
      <x:c r="R12" s="3"/>
    </x:row>
    <x:row r="13" ht="40" customHeight="1">
      <x:c r="A13" s="3" t="str">
        <x:v>upgradeRange</x:v>
      </x:c>
      <x:c r="B13" s="11" t="n">
        <x:v>0.08</x:v>
      </x:c>
      <x:c r="C13" s="3" t="str">
        <x:v>每升一级的射程增幅</x:v>
      </x:c>
      <x:c r="D13" s="3"/>
      <x:c r="E13" s="4"/>
      <x:c r="F13" s="4"/>
      <x:c r="G13" s="4"/>
      <x:c r="H13" s="4"/>
      <x:c r="I13" s="4"/>
      <x:c r="J13" s="3"/>
      <x:c r="K13" s="3"/>
      <x:c r="L13" s="3"/>
      <x:c r="M13" s="3"/>
      <x:c r="N13" s="3"/>
      <x:c r="O13" s="3"/>
      <x:c r="P13" s="3"/>
      <x:c r="Q13" s="3"/>
      <x:c r="R13" s="3"/>
    </x:row>
    <x:row r="14" ht="40" customHeight="1">
      <x:c r="A14" s="3" t="str">
        <x:v>upgradeRate</x:v>
      </x:c>
      <x:c r="B14" s="11" t="n">
        <x:v>0.12</x:v>
      </x:c>
      <x:c r="C14" s="3" t="str">
        <x:v>每升一级的攻速增幅</x:v>
      </x:c>
      <x:c r="D14" s="3"/>
      <x:c r="E14" s="4"/>
      <x:c r="F14" s="4"/>
      <x:c r="G14" s="4"/>
      <x:c r="H14" s="4"/>
      <x:c r="I14" s="4"/>
      <x:c r="J14" s="3"/>
      <x:c r="K14" s="3"/>
      <x:c r="L14" s="3"/>
      <x:c r="M14" s="3"/>
      <x:c r="N14" s="3"/>
      <x:c r="O14" s="3"/>
      <x:c r="P14" s="3"/>
      <x:c r="Q14" s="3"/>
      <x:c r="R14" s="3"/>
    </x:row>
    <x:row r="15" ht="40" customHeight="1">
      <x:c r="A15" s="3" t="str">
        <x:v>upgradeCostBase</x:v>
      </x:c>
      <x:c r="B15" s="11" t="n">
        <x:v>0.5</x:v>
      </x:c>
      <x:c r="C15" s="3" t="str">
        <x:v>升级费基础比例</x:v>
      </x:c>
      <x:c r="D15" s="3"/>
      <x:c r="E15" s="4"/>
      <x:c r="F15" s="4"/>
      <x:c r="G15" s="4"/>
      <x:c r="H15" s="4"/>
      <x:c r="I15" s="4"/>
      <x:c r="J15" s="3"/>
      <x:c r="K15" s="3"/>
      <x:c r="L15" s="3"/>
      <x:c r="M15" s="3"/>
      <x:c r="N15" s="3"/>
      <x:c r="O15" s="3"/>
      <x:c r="P15" s="3"/>
      <x:c r="Q15" s="3"/>
      <x:c r="R15" s="3"/>
    </x:row>
    <x:row r="16" ht="25" customHeight="1">
      <x:c r="A16" s="3" t="str">
        <x:v>upgradeCostStep</x:v>
      </x:c>
      <x:c r="B16" s="11" t="n">
        <x:v>0.25</x:v>
      </x:c>
      <x:c r="C16" s="3" t="str">
        <x:v>升级费逐级比例</x:v>
      </x:c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</x:row>
    <x:row r="17" ht="40" customHeight="1">
      <x:c r="A17" s="3" t="str">
        <x:v>sellRatio</x:v>
      </x:c>
      <x:c r="B17" s="11" t="n">
        <x:v>0.65</x:v>
      </x:c>
      <x:c r="C17" s="3" t="str">
        <x:v>出售返还比例，向下取整</x:v>
      </x:c>
      <x:c r="D17" s="3"/>
      <x:c r="E17" s="4" t="str">
        <x:v>通关第3关后开放分支。
冒险1～3关保留原三级；规则待审核。</x:v>
      </x:c>
      <x:c r="F17" s="4"/>
      <x:c r="G17" s="4"/>
      <x:c r="H17" s="4"/>
      <x:c r="I17" s="4"/>
      <x:c r="J17" s="3"/>
      <x:c r="K17" s="3"/>
      <x:c r="L17" s="3"/>
      <x:c r="M17" s="3"/>
      <x:c r="N17" s="3"/>
      <x:c r="O17" s="3"/>
      <x:c r="P17" s="3"/>
      <x:c r="Q17" s="3"/>
      <x:c r="R17" s="3"/>
    </x:row>
    <x:row r="18" ht="40" customHeight="1">
      <x:c r="A18" s="3" t="str">
        <x:v>slowSpeedRatio</x:v>
      </x:c>
      <x:c r="B18" s="11" t="n">
        <x:v>0.57</x:v>
      </x:c>
      <x:c r="C18" s="3" t="str">
        <x:v>当前减速后速度倍率</x:v>
      </x:c>
      <x:c r="D18" s="3"/>
      <x:c r="E18" s="4"/>
      <x:c r="F18" s="4"/>
      <x:c r="G18" s="4"/>
      <x:c r="H18" s="4"/>
      <x:c r="I18" s="4"/>
      <x:c r="J18" s="3"/>
      <x:c r="K18" s="3"/>
      <x:c r="L18" s="3"/>
      <x:c r="M18" s="3"/>
      <x:c r="N18" s="3"/>
      <x:c r="O18" s="3"/>
      <x:c r="P18" s="3"/>
      <x:c r="Q18" s="3"/>
      <x:c r="R18" s="3"/>
    </x:row>
    <x:row r="19" ht="40" customHeight="1">
      <x:c r="A19" s="3" t="str">
        <x:v>maxStaffLevel</x:v>
      </x:c>
      <x:c r="B19" s="3" t="n">
        <x:v>3</x:v>
      </x:c>
      <x:c r="C19" s="3" t="str">
        <x:v>当前最高等级</x:v>
      </x:c>
      <x:c r="D19" s="3"/>
      <x:c r="E19" s="4"/>
      <x:c r="F19" s="4"/>
      <x:c r="G19" s="4"/>
      <x:c r="H19" s="4"/>
      <x:c r="I19" s="4"/>
      <x:c r="J19" s="3"/>
      <x:c r="K19" s="3"/>
      <x:c r="L19" s="3"/>
      <x:c r="M19" s="3"/>
      <x:c r="N19" s="3"/>
      <x:c r="O19" s="3"/>
      <x:c r="P19" s="3"/>
      <x:c r="Q19" s="3"/>
      <x:c r="R19" s="3"/>
    </x:row>
    <x:row r="20" ht="40" customHeight="1">
      <x:c r="A20" s="3"/>
      <x:c r="B20" s="3"/>
      <x:c r="C20" s="3"/>
      <x:c r="D20" s="3"/>
      <x:c r="E20" s="4"/>
      <x:c r="F20" s="4"/>
      <x:c r="G20" s="4"/>
      <x:c r="H20" s="4"/>
      <x:c r="I20" s="4"/>
      <x:c r="J20" s="3"/>
      <x:c r="K20" s="3"/>
      <x:c r="L20" s="3"/>
      <x:c r="M20" s="3"/>
      <x:c r="N20" s="3"/>
      <x:c r="O20" s="3"/>
      <x:c r="P20" s="3"/>
      <x:c r="Q20" s="3"/>
      <x:c r="R20" s="3"/>
    </x:row>
    <x:row r="21" ht="2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</x:row>
    <x:row r="24" ht="34" customHeight="1">
      <x:c r="A24" s="10" t="str">
        <x:v>店员</x:v>
      </x:c>
      <x:c r="B24" s="10" t="str">
        <x:v>等级</x:v>
      </x:c>
      <x:c r="C24" s="10" t="str">
        <x:v>伤害</x:v>
      </x:c>
      <x:c r="D24" s="10" t="str">
        <x:v>周期/秒</x:v>
      </x:c>
      <x:c r="E24" s="10" t="str">
        <x:v>射程</x:v>
      </x:c>
      <x:c r="F24" s="10" t="str">
        <x:v>当次费用</x:v>
      </x:c>
      <x:c r="G24" s="10" t="str">
        <x:v>累计成本</x:v>
      </x:c>
      <x:c r="H24" s="10" t="str">
        <x:v>单体DPS</x:v>
      </x:c>
      <x:c r="I24" s="10" t="str">
        <x:v>减速后速度</x:v>
      </x:c>
      <x:c r="J24" s="10" t="str">
        <x:v>持续/秒</x:v>
      </x:c>
      <x:c r="K24" s="10" t="str">
        <x:v>爆炸半径</x:v>
      </x:c>
      <x:c r="L24" s="10" t="str">
        <x:v>出售返还</x:v>
      </x:c>
      <x:c r="M24" s="3"/>
      <x:c r="N24" s="3"/>
      <x:c r="O24" s="3"/>
      <x:c r="P24" s="3"/>
      <x:c r="Q24" s="3"/>
      <x:c r="R24" s="3"/>
    </x:row>
    <x:row r="25" ht="25" customHeight="1">
      <x:c r="A25" s="3" t="str">
        <x:v>豆包</x:v>
      </x:c>
      <x:c r="B25" s="3" t="n">
        <x:v>1</x:v>
      </x:c>
      <x:c r="C25" s="11" t="n">
        <x:f>D6*(1+(B25-1)*$B$12)</x:f>
        <x:v>12</x:v>
      </x:c>
      <x:c r="D25" s="11" t="n">
        <x:f>E6/(1+(B25-1)*$B$14)</x:f>
        <x:v>0.72</x:v>
      </x:c>
      <x:c r="E25" s="11" t="n">
        <x:f>F6*(1+(B25-1)*$B$13)</x:f>
        <x:v>88</x:v>
      </x:c>
      <x:c r="F25" s="3" t="n">
        <x:f>C6</x:f>
        <x:v>85</x:v>
      </x:c>
      <x:c r="G25" s="3" t="n">
        <x:f>SUM(F25:F25)</x:f>
        <x:v>85</x:v>
      </x:c>
      <x:c r="H25" s="11" t="n">
        <x:f>C25/D25</x:f>
        <x:v>16.666666666666668</x:v>
      </x:c>
      <x:c r="I25" s="11" t="n">
        <x:f>1</x:f>
        <x:v>1</x:v>
      </x:c>
      <x:c r="J25" s="11" t="n">
        <x:f>G6+B25*H6</x:f>
        <x:v>0</x:v>
      </x:c>
      <x:c r="K25" s="11" t="n">
        <x:f>I6</x:f>
        <x:v>0</x:v>
      </x:c>
      <x:c r="L25" s="3" t="n">
        <x:f>INT(G25*$B$17)</x:f>
        <x:v>55</x:v>
      </x:c>
      <x:c r="M25" s="3"/>
      <x:c r="N25" s="3"/>
      <x:c r="O25" s="3"/>
      <x:c r="P25" s="3"/>
      <x:c r="Q25" s="3"/>
      <x:c r="R25" s="3"/>
    </x:row>
    <x:row r="26" ht="25" customHeight="1">
      <x:c r="A26" s="3" t="str">
        <x:v>豆包</x:v>
      </x:c>
      <x:c r="B26" s="3" t="n">
        <x:v>2</x:v>
      </x:c>
      <x:c r="C26" s="11" t="n">
        <x:f>D6*(1+(B26-1)*$B$12)</x:f>
        <x:v>18.240000000000002</x:v>
      </x:c>
      <x:c r="D26" s="11" t="n">
        <x:f>E6/(1+(B26-1)*$B$14)</x:f>
        <x:v>0.6428571428571428</x:v>
      </x:c>
      <x:c r="E26" s="11" t="n">
        <x:f>F6*(1+(B26-1)*$B$13)</x:f>
        <x:v>95.04</x:v>
      </x:c>
      <x:c r="F26" s="3" t="n">
        <x:f>ROUND(C6*($B$15+(B26-1)*$B$16),0)</x:f>
        <x:v>64</x:v>
      </x:c>
      <x:c r="G26" s="3" t="n">
        <x:f>SUM(F25:F26)</x:f>
        <x:v>149</x:v>
      </x:c>
      <x:c r="H26" s="11" t="n">
        <x:f>C26/D26</x:f>
        <x:v>28.37333333333334</x:v>
      </x:c>
      <x:c r="I26" s="11" t="n">
        <x:f>1</x:f>
        <x:v>1</x:v>
      </x:c>
      <x:c r="J26" s="11" t="n">
        <x:f>G6+B26*H6</x:f>
        <x:v>0</x:v>
      </x:c>
      <x:c r="K26" s="11" t="n">
        <x:f>I6</x:f>
        <x:v>0</x:v>
      </x:c>
      <x:c r="L26" s="3" t="n">
        <x:f>INT(G26*$B$17)</x:f>
        <x:v>96</x:v>
      </x:c>
      <x:c r="M26" s="3"/>
      <x:c r="N26" s="3"/>
      <x:c r="O26" s="3"/>
      <x:c r="P26" s="3"/>
      <x:c r="Q26" s="3"/>
      <x:c r="R26" s="3"/>
    </x:row>
    <x:row r="27" ht="25" customHeight="1">
      <x:c r="A27" s="3" t="str">
        <x:v>豆包</x:v>
      </x:c>
      <x:c r="B27" s="3" t="n">
        <x:v>3</x:v>
      </x:c>
      <x:c r="C27" s="11" t="n">
        <x:f>D6*(1+(B27-1)*$B$12)</x:f>
        <x:v>24.48</x:v>
      </x:c>
      <x:c r="D27" s="11" t="n">
        <x:f>E6/(1+(B27-1)*$B$14)</x:f>
        <x:v>0.5806451612903225</x:v>
      </x:c>
      <x:c r="E27" s="11" t="n">
        <x:f>F6*(1+(B27-1)*$B$13)</x:f>
        <x:v>102.08</x:v>
      </x:c>
      <x:c r="F27" s="3" t="n">
        <x:f>ROUND(C6*($B$15+(B27-1)*$B$16),0)</x:f>
        <x:v>85</x:v>
      </x:c>
      <x:c r="G27" s="3" t="n">
        <x:f>SUM(F25:F27)</x:f>
        <x:v>234</x:v>
      </x:c>
      <x:c r="H27" s="11" t="n">
        <x:f>C27/D27</x:f>
        <x:v>42.160000000000004</x:v>
      </x:c>
      <x:c r="I27" s="11" t="n">
        <x:f>1</x:f>
        <x:v>1</x:v>
      </x:c>
      <x:c r="J27" s="11" t="n">
        <x:f>G6+B27*H6</x:f>
        <x:v>0</x:v>
      </x:c>
      <x:c r="K27" s="11" t="n">
        <x:f>I6</x:f>
        <x:v>0</x:v>
      </x:c>
      <x:c r="L27" s="3" t="n">
        <x:f>INT(G27*$B$17)</x:f>
        <x:v>152</x:v>
      </x:c>
      <x:c r="M27" s="3"/>
      <x:c r="N27" s="3"/>
      <x:c r="O27" s="3"/>
      <x:c r="P27" s="3"/>
      <x:c r="Q27" s="3"/>
      <x:c r="R27" s="3"/>
    </x:row>
    <x:row r="28" ht="25" customHeight="1">
      <x:c r="A28" s="3" t="str">
        <x:v>棉棉</x:v>
      </x:c>
      <x:c r="B28" s="3" t="n">
        <x:v>1</x:v>
      </x:c>
      <x:c r="C28" s="11" t="n">
        <x:f>D7*(1+(B28-1)*$B$12)</x:f>
        <x:v>8</x:v>
      </x:c>
      <x:c r="D28" s="11" t="n">
        <x:f>E7/(1+(B28-1)*$B$14)</x:f>
        <x:v>1.08</x:v>
      </x:c>
      <x:c r="E28" s="11" t="n">
        <x:f>F7*(1+(B28-1)*$B$13)</x:f>
        <x:v>86</x:v>
      </x:c>
      <x:c r="F28" s="3" t="n">
        <x:f>C7</x:f>
        <x:v>110</x:v>
      </x:c>
      <x:c r="G28" s="3" t="n">
        <x:f>SUM(F28:F28)</x:f>
        <x:v>110</x:v>
      </x:c>
      <x:c r="H28" s="11" t="n">
        <x:f>C28/D28</x:f>
        <x:v>7.4074074074074066</x:v>
      </x:c>
      <x:c r="I28" s="11" t="n">
        <x:f>$B$18</x:f>
        <x:v>0.57</x:v>
      </x:c>
      <x:c r="J28" s="11" t="n">
        <x:f>G7+B28*H7</x:f>
        <x:v>1.55</x:v>
      </x:c>
      <x:c r="K28" s="11" t="n">
        <x:f>I7</x:f>
        <x:v>0</x:v>
      </x:c>
      <x:c r="L28" s="3" t="n">
        <x:f>INT(G28*$B$17)</x:f>
        <x:v>71</x:v>
      </x:c>
      <x:c r="M28" s="3"/>
      <x:c r="N28" s="3"/>
      <x:c r="O28" s="3"/>
      <x:c r="P28" s="3"/>
      <x:c r="Q28" s="3"/>
      <x:c r="R28" s="3"/>
    </x:row>
    <x:row r="29" ht="25" customHeight="1">
      <x:c r="A29" s="3" t="str">
        <x:v>棉棉</x:v>
      </x:c>
      <x:c r="B29" s="3" t="n">
        <x:v>2</x:v>
      </x:c>
      <x:c r="C29" s="11" t="n">
        <x:f>D7*(1+(B29-1)*$B$12)</x:f>
        <x:v>12.16</x:v>
      </x:c>
      <x:c r="D29" s="11" t="n">
        <x:f>E7/(1+(B29-1)*$B$14)</x:f>
        <x:v>0.9642857142857143</x:v>
      </x:c>
      <x:c r="E29" s="11" t="n">
        <x:f>F7*(1+(B29-1)*$B$13)</x:f>
        <x:v>92.88000000000001</x:v>
      </x:c>
      <x:c r="F29" s="3" t="n">
        <x:f>ROUND(C7*($B$15+(B29-1)*$B$16),0)</x:f>
        <x:v>83</x:v>
      </x:c>
      <x:c r="G29" s="3" t="n">
        <x:f>SUM(F28:F29)</x:f>
        <x:v>193</x:v>
      </x:c>
      <x:c r="H29" s="11" t="n">
        <x:f>C29/D29</x:f>
        <x:v>12.61037037037037</x:v>
      </x:c>
      <x:c r="I29" s="11" t="n">
        <x:f>$B$18</x:f>
        <x:v>0.57</x:v>
      </x:c>
      <x:c r="J29" s="11" t="n">
        <x:f>G7+B29*H7</x:f>
        <x:v>1.75</x:v>
      </x:c>
      <x:c r="K29" s="11" t="n">
        <x:f>I7</x:f>
        <x:v>0</x:v>
      </x:c>
      <x:c r="L29" s="3" t="n">
        <x:f>INT(G29*$B$17)</x:f>
        <x:v>125</x:v>
      </x:c>
      <x:c r="M29" s="3"/>
      <x:c r="N29" s="3"/>
      <x:c r="O29" s="3"/>
      <x:c r="P29" s="3"/>
      <x:c r="Q29" s="3"/>
      <x:c r="R29" s="3"/>
    </x:row>
    <x:row r="30" ht="25" customHeight="1">
      <x:c r="A30" s="3" t="str">
        <x:v>棉棉</x:v>
      </x:c>
      <x:c r="B30" s="3" t="n">
        <x:v>3</x:v>
      </x:c>
      <x:c r="C30" s="11" t="n">
        <x:f>D7*(1+(B30-1)*$B$12)</x:f>
        <x:v>16.32</x:v>
      </x:c>
      <x:c r="D30" s="11" t="n">
        <x:f>E7/(1+(B30-1)*$B$14)</x:f>
        <x:v>0.870967741935484</x:v>
      </x:c>
      <x:c r="E30" s="11" t="n">
        <x:f>F7*(1+(B30-1)*$B$13)</x:f>
        <x:v>99.75999999999999</x:v>
      </x:c>
      <x:c r="F30" s="3" t="n">
        <x:f>ROUND(C7*($B$15+(B30-1)*$B$16),0)</x:f>
        <x:v>110</x:v>
      </x:c>
      <x:c r="G30" s="3" t="n">
        <x:f>SUM(F28:F30)</x:f>
        <x:v>303</x:v>
      </x:c>
      <x:c r="H30" s="11" t="n">
        <x:f>C30/D30</x:f>
        <x:v>18.737777777777776</x:v>
      </x:c>
      <x:c r="I30" s="11" t="n">
        <x:f>$B$18</x:f>
        <x:v>0.57</x:v>
      </x:c>
      <x:c r="J30" s="11" t="n">
        <x:f>G7+B30*H7</x:f>
        <x:v>1.9500000000000002</x:v>
      </x:c>
      <x:c r="K30" s="11" t="n">
        <x:f>I7</x:f>
        <x:v>0</x:v>
      </x:c>
      <x:c r="L30" s="3" t="n">
        <x:f>INT(G30*$B$17)</x:f>
        <x:v>196</x:v>
      </x:c>
      <x:c r="M30" s="3"/>
      <x:c r="N30" s="3"/>
      <x:c r="O30" s="3"/>
      <x:c r="P30" s="3"/>
      <x:c r="Q30" s="3"/>
      <x:c r="R30" s="3"/>
    </x:row>
    <x:row r="31" ht="25" customHeight="1">
      <x:c r="A31" s="3" t="str">
        <x:v>布丁</x:v>
      </x:c>
      <x:c r="B31" s="3" t="n">
        <x:v>1</x:v>
      </x:c>
      <x:c r="C31" s="11" t="n">
        <x:f>D8*(1+(B31-1)*$B$12)</x:f>
        <x:v>23</x:v>
      </x:c>
      <x:c r="D31" s="11" t="n">
        <x:f>E8/(1+(B31-1)*$B$14)</x:f>
        <x:v>1.52</x:v>
      </x:c>
      <x:c r="E31" s="11" t="n">
        <x:f>F8*(1+(B31-1)*$B$13)</x:f>
        <x:v>100</x:v>
      </x:c>
      <x:c r="F31" s="3" t="n">
        <x:f>C8</x:f>
        <x:v>150</x:v>
      </x:c>
      <x:c r="G31" s="3" t="n">
        <x:f>SUM(F31:F31)</x:f>
        <x:v>150</x:v>
      </x:c>
      <x:c r="H31" s="11" t="n">
        <x:f>C31/D31</x:f>
        <x:v>15.131578947368421</x:v>
      </x:c>
      <x:c r="I31" s="11" t="n">
        <x:f>1</x:f>
        <x:v>1</x:v>
      </x:c>
      <x:c r="J31" s="11" t="n">
        <x:f>G8+B31*H8</x:f>
        <x:v>0</x:v>
      </x:c>
      <x:c r="K31" s="11" t="n">
        <x:f>I8</x:f>
        <x:v>38</x:v>
      </x:c>
      <x:c r="L31" s="3" t="n">
        <x:f>INT(G31*$B$17)</x:f>
        <x:v>97</x:v>
      </x:c>
      <x:c r="M31" s="3"/>
      <x:c r="N31" s="3"/>
      <x:c r="O31" s="3"/>
      <x:c r="P31" s="3"/>
      <x:c r="Q31" s="3"/>
      <x:c r="R31" s="3"/>
    </x:row>
    <x:row r="32" ht="25" customHeight="1">
      <x:c r="A32" s="3" t="str">
        <x:v>布丁</x:v>
      </x:c>
      <x:c r="B32" s="3" t="n">
        <x:v>2</x:v>
      </x:c>
      <x:c r="C32" s="11" t="n">
        <x:f>D8*(1+(B32-1)*$B$12)</x:f>
        <x:v>34.96</x:v>
      </x:c>
      <x:c r="D32" s="11" t="n">
        <x:f>E8/(1+(B32-1)*$B$14)</x:f>
        <x:v>1.357142857142857</x:v>
      </x:c>
      <x:c r="E32" s="11" t="n">
        <x:f>F8*(1+(B32-1)*$B$13)</x:f>
        <x:v>108</x:v>
      </x:c>
      <x:c r="F32" s="3" t="n">
        <x:f>ROUND(C8*($B$15+(B32-1)*$B$16),0)</x:f>
        <x:v>113</x:v>
      </x:c>
      <x:c r="G32" s="3" t="n">
        <x:f>SUM(F31:F32)</x:f>
        <x:v>263</x:v>
      </x:c>
      <x:c r="H32" s="11" t="n">
        <x:f>C32/D32</x:f>
        <x:v>25.760000000000005</x:v>
      </x:c>
      <x:c r="I32" s="11" t="n">
        <x:f>1</x:f>
        <x:v>1</x:v>
      </x:c>
      <x:c r="J32" s="11" t="n">
        <x:f>G8+B32*H8</x:f>
        <x:v>0</x:v>
      </x:c>
      <x:c r="K32" s="11" t="n">
        <x:f>I8</x:f>
        <x:v>38</x:v>
      </x:c>
      <x:c r="L32" s="3" t="n">
        <x:f>INT(G32*$B$17)</x:f>
        <x:v>170</x:v>
      </x:c>
      <x:c r="M32" s="3"/>
      <x:c r="N32" s="3"/>
      <x:c r="O32" s="3"/>
      <x:c r="P32" s="3"/>
      <x:c r="Q32" s="3"/>
      <x:c r="R32" s="3"/>
    </x:row>
    <x:row r="33" ht="25" customHeight="1">
      <x:c r="A33" s="3" t="str">
        <x:v>布丁</x:v>
      </x:c>
      <x:c r="B33" s="3" t="n">
        <x:v>3</x:v>
      </x:c>
      <x:c r="C33" s="11" t="n">
        <x:f>D8*(1+(B33-1)*$B$12)</x:f>
        <x:v>46.92</x:v>
      </x:c>
      <x:c r="D33" s="11" t="n">
        <x:f>E8/(1+(B33-1)*$B$14)</x:f>
        <x:v>1.2258064516129032</x:v>
      </x:c>
      <x:c r="E33" s="11" t="n">
        <x:f>F8*(1+(B33-1)*$B$13)</x:f>
        <x:v>115.99999999999999</x:v>
      </x:c>
      <x:c r="F33" s="3" t="n">
        <x:f>ROUND(C8*($B$15+(B33-1)*$B$16),0)</x:f>
        <x:v>150</x:v>
      </x:c>
      <x:c r="G33" s="3" t="n">
        <x:f>SUM(F31:F33)</x:f>
        <x:v>413</x:v>
      </x:c>
      <x:c r="H33" s="11" t="n">
        <x:f>C33/D33</x:f>
        <x:v>38.27684210526316</x:v>
      </x:c>
      <x:c r="I33" s="11" t="n">
        <x:f>1</x:f>
        <x:v>1</x:v>
      </x:c>
      <x:c r="J33" s="11" t="n">
        <x:f>G8+B33*H8</x:f>
        <x:v>0</x:v>
      </x:c>
      <x:c r="K33" s="11" t="n">
        <x:f>I8</x:f>
        <x:v>38</x:v>
      </x:c>
      <x:c r="L33" s="3" t="n">
        <x:f>INT(G33*$B$17)</x:f>
        <x:v>268</x:v>
      </x:c>
      <x:c r="M33" s="3"/>
      <x:c r="N33" s="3"/>
      <x:c r="O33" s="3"/>
      <x:c r="P33" s="3"/>
      <x:c r="Q33" s="3"/>
      <x:c r="R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</x:row>
  </x:sheetData>
  <x:mergeCells>
    <x:mergeCell ref="A2:I2"/>
    <x:mergeCell ref="A3:I3"/>
    <x:mergeCell ref="E12:I15"/>
    <x:mergeCell ref="E17:I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4" hidden="0" customWidth="1"/>
    <x:col min="4" max="4" width="3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4" hidden="0" customWidth="1"/>
    <x:col min="18" max="18" width="14" hidden="0" customWidth="1"/>
  </x:cols>
  <x:sheetData>
    <x:row r="1" ht="48" customHeight="1">
      <x:c r="A1" s="13" t="str">
        <x:v>ID</x:v>
      </x:c>
      <x:c r="B1" s="13" t="str">
        <x:v>分支键</x:v>
      </x:c>
      <x:c r="C1" s="13" t="str">
        <x:v>店员键</x:v>
      </x:c>
      <x:c r="D1" s="13" t="str">
        <x:v>名称I18键</x:v>
      </x:c>
      <x:c r="E1" s="13" t="str">
        <x:v>起始等级</x:v>
      </x:c>
      <x:c r="F1" s="13" t="str">
        <x:v>目标等级</x:v>
      </x:c>
      <x:c r="G1" s="13" t="str">
        <x:v>每发/主目标伤害</x:v>
      </x:c>
      <x:c r="H1" s="13" t="str">
        <x:v>首发到首发周期/秒</x:v>
      </x:c>
      <x:c r="I1" s="13" t="str">
        <x:v>射程</x:v>
      </x:c>
      <x:c r="J1" s="13" t="str">
        <x:v>每周期连发数</x:v>
      </x:c>
      <x:c r="K1" s="13" t="str">
        <x:v>连发间隔/秒</x:v>
      </x:c>
      <x:c r="L1" s="13" t="str">
        <x:v>每发不同目标数</x:v>
      </x:c>
      <x:c r="M1" s="13" t="str">
        <x:v>减速后速度倍率</x:v>
      </x:c>
      <x:c r="N1" s="13" t="str">
        <x:v>减速持续/秒</x:v>
      </x:c>
      <x:c r="O1" s="13" t="str">
        <x:v>爆炸半径</x:v>
      </x:c>
      <x:c r="P1" s="13" t="str">
        <x:v>非主目标伤害比例</x:v>
      </x:c>
      <x:c r="Q1" s="13" t="str">
        <x:v>升级费用</x:v>
      </x:c>
      <x:c r="R1" s="13" t="str">
        <x:v>沿用弹道样式</x:v>
      </x:c>
    </x:row>
    <x:row r="2" ht="48" customHeight="1">
      <x:c r="A2" s="13" t="str">
        <x:v>client</x:v>
      </x:c>
      <x:c r="B2" s="13" t="str">
        <x:v>client</x:v>
      </x:c>
      <x:c r="C2" s="13" t="str">
        <x:v>client</x:v>
      </x:c>
      <x:c r="D2" s="13" t="str">
        <x:v>client</x:v>
      </x:c>
      <x:c r="E2" s="13" t="str">
        <x:v>client</x:v>
      </x:c>
      <x:c r="F2" s="13" t="str">
        <x:v>client</x:v>
      </x:c>
      <x:c r="G2" s="13" t="str">
        <x:v>client</x:v>
      </x:c>
      <x:c r="H2" s="13" t="str">
        <x:v>client</x:v>
      </x:c>
      <x:c r="I2" s="13" t="str">
        <x:v>client</x:v>
      </x:c>
      <x:c r="J2" s="13" t="str">
        <x:v>client</x:v>
      </x:c>
      <x:c r="K2" s="13" t="str">
        <x:v>client</x:v>
      </x:c>
      <x:c r="L2" s="13" t="str">
        <x:v>client</x:v>
      </x:c>
      <x:c r="M2" s="13" t="str">
        <x:v>client</x:v>
      </x:c>
      <x:c r="N2" s="13" t="str">
        <x:v>client</x:v>
      </x:c>
      <x:c r="O2" s="13" t="str">
        <x:v>client</x:v>
      </x:c>
      <x:c r="P2" s="13" t="str">
        <x:v>client</x:v>
      </x:c>
      <x:c r="Q2" s="13" t="str">
        <x:v>client</x:v>
      </x:c>
      <x:c r="R2" s="13" t="str">
        <x:v>client</x:v>
      </x:c>
    </x:row>
    <x:row r="3" ht="48" customHeight="1">
      <x:c r="A3" s="13" t="str">
        <x:v>int</x:v>
      </x:c>
      <x:c r="B3" s="13" t="str">
        <x:v>string</x:v>
      </x:c>
      <x:c r="C3" s="13" t="str">
        <x:v>string</x:v>
      </x:c>
      <x:c r="D3" s="13" t="str">
        <x:v>string</x:v>
      </x:c>
      <x:c r="E3" s="13" t="str">
        <x:v>int</x:v>
      </x:c>
      <x:c r="F3" s="13" t="str">
        <x:v>int</x:v>
      </x:c>
      <x:c r="G3" s="13" t="str">
        <x:v>float</x:v>
      </x:c>
      <x:c r="H3" s="13" t="str">
        <x:v>float</x:v>
      </x:c>
      <x:c r="I3" s="13" t="str">
        <x:v>float</x:v>
      </x:c>
      <x:c r="J3" s="13" t="str">
        <x:v>int</x:v>
      </x:c>
      <x:c r="K3" s="13" t="str">
        <x:v>float</x:v>
      </x:c>
      <x:c r="L3" s="13" t="str">
        <x:v>int</x:v>
      </x:c>
      <x:c r="M3" s="13" t="str">
        <x:v>float</x:v>
      </x:c>
      <x:c r="N3" s="13" t="str">
        <x:v>float</x:v>
      </x:c>
      <x:c r="O3" s="13" t="str">
        <x:v>float</x:v>
      </x:c>
      <x:c r="P3" s="13" t="str">
        <x:v>float</x:v>
      </x:c>
      <x:c r="Q3" s="13" t="str">
        <x:v>int</x:v>
      </x:c>
      <x:c r="R3" s="13" t="str">
        <x:v>string</x:v>
      </x:c>
    </x:row>
    <x:row r="4" ht="48" customHeight="1">
      <x:c r="A4" s="13" t="str">
        <x:v>ID</x:v>
      </x:c>
      <x:c r="B4" s="13" t="str">
        <x:v>分支键</x:v>
      </x:c>
      <x:c r="C4" s="13" t="str">
        <x:v>店员键</x:v>
      </x:c>
      <x:c r="D4" s="13" t="str">
        <x:v>名称I18键</x:v>
      </x:c>
      <x:c r="E4" s="13" t="str">
        <x:v>起始等级</x:v>
      </x:c>
      <x:c r="F4" s="13" t="str">
        <x:v>目标等级</x:v>
      </x:c>
      <x:c r="G4" s="13" t="str">
        <x:v>每发/主目标伤害</x:v>
      </x:c>
      <x:c r="H4" s="13" t="str">
        <x:v>首发到首发周期/秒</x:v>
      </x:c>
      <x:c r="I4" s="13" t="str">
        <x:v>射程</x:v>
      </x:c>
      <x:c r="J4" s="13" t="str">
        <x:v>每周期连发数</x:v>
      </x:c>
      <x:c r="K4" s="13" t="str">
        <x:v>连发间隔/秒</x:v>
      </x:c>
      <x:c r="L4" s="13" t="str">
        <x:v>每发不同目标数</x:v>
      </x:c>
      <x:c r="M4" s="13" t="str">
        <x:v>减速后速度倍率</x:v>
      </x:c>
      <x:c r="N4" s="13" t="str">
        <x:v>减速持续/秒</x:v>
      </x:c>
      <x:c r="O4" s="13" t="str">
        <x:v>爆炸半径</x:v>
      </x:c>
      <x:c r="P4" s="13" t="str">
        <x:v>非主目标伤害比例</x:v>
      </x:c>
      <x:c r="Q4" s="13" t="str">
        <x:v>升级费用</x:v>
      </x:c>
      <x:c r="R4" s="13" t="str">
        <x:v>沿用弹道样式</x:v>
      </x:c>
    </x:row>
    <x:row r="5" ht="48" customHeight="1">
      <x:c r="A5" s="15" t="str">
        <x:v>id</x:v>
      </x:c>
      <x:c r="B5" s="15" t="str">
        <x:v>key</x:v>
      </x:c>
      <x:c r="C5" s="15" t="str">
        <x:v>staffKey</x:v>
      </x:c>
      <x:c r="D5" s="15" t="str">
        <x:v>nameKey</x:v>
      </x:c>
      <x:c r="E5" s="15" t="str">
        <x:v>fromLevel</x:v>
      </x:c>
      <x:c r="F5" s="15" t="str">
        <x:v>toLevel</x:v>
      </x:c>
      <x:c r="G5" s="15" t="str">
        <x:v>damage</x:v>
      </x:c>
      <x:c r="H5" s="15" t="str">
        <x:v>attackInterval</x:v>
      </x:c>
      <x:c r="I5" s="15" t="str">
        <x:v>range</x:v>
      </x:c>
      <x:c r="J5" s="15" t="str">
        <x:v>burstCount</x:v>
      </x:c>
      <x:c r="K5" s="15" t="str">
        <x:v>burstGap</x:v>
      </x:c>
      <x:c r="L5" s="15" t="str">
        <x:v>targetCount</x:v>
      </x:c>
      <x:c r="M5" s="15" t="str">
        <x:v>slowSpeedRatio</x:v>
      </x:c>
      <x:c r="N5" s="15" t="str">
        <x:v>slowSeconds</x:v>
      </x:c>
      <x:c r="O5" s="15" t="str">
        <x:v>splashRadius</x:v>
      </x:c>
      <x:c r="P5" s="15" t="str">
        <x:v>splashOuterRatio</x:v>
      </x:c>
      <x:c r="Q5" s="15" t="str">
        <x:v>upgradeCost</x:v>
      </x:c>
      <x:c r="R5" s="15" t="str">
        <x:v>projectile</x:v>
      </x:c>
    </x:row>
    <x:row r="6" ht="25" customHeight="1">
      <x:c r="A6" s="3" t="n">
        <x:v>1</x:v>
      </x:c>
      <x:c r="B6" s="3" t="str">
        <x:v>sprout_heavy</x:v>
      </x:c>
      <x:c r="C6" s="3" t="str">
        <x:v>sprout</x:v>
      </x:c>
      <x:c r="D6" s="3" t="str">
        <x:v>branch.sprout_heavy.name</x:v>
      </x:c>
      <x:c r="E6" s="3" t="n">
        <x:v>2</x:v>
      </x:c>
      <x:c r="F6" s="3" t="n">
        <x:v>3</x:v>
      </x:c>
      <x:c r="G6" s="11" t="n">
        <x:v>42</x:v>
      </x:c>
      <x:c r="H6" s="11" t="n">
        <x:v>0.96</x:v>
      </x:c>
      <x:c r="I6" s="11" t="n">
        <x:v>100</x:v>
      </x:c>
      <x:c r="J6" s="16" t="n">
        <x:v>1</x:v>
      </x:c>
      <x:c r="K6" s="11" t="n">
        <x:v>0</x:v>
      </x:c>
      <x:c r="L6" s="16" t="n">
        <x:v>1</x:v>
      </x:c>
      <x:c r="M6" s="11" t="n">
        <x:v>1</x:v>
      </x:c>
      <x:c r="N6" s="11" t="n">
        <x:v>0</x:v>
      </x:c>
      <x:c r="O6" s="11" t="n">
        <x:v>0</x:v>
      </x:c>
      <x:c r="P6" s="11" t="n">
        <x:v>1</x:v>
      </x:c>
      <x:c r="Q6" s="3" t="n">
        <x:f>'现行基线'!F27</x:f>
        <x:v>85</x:v>
      </x:c>
      <x:c r="R6" s="3" t="str">
        <x:v>sprout</x:v>
      </x:c>
    </x:row>
    <x:row r="7" ht="25" customHeight="1">
      <x:c r="A7" s="3" t="n">
        <x:v>2</x:v>
      </x:c>
      <x:c r="B7" s="3" t="str">
        <x:v>sprout_burst</x:v>
      </x:c>
      <x:c r="C7" s="3" t="str">
        <x:v>sprout</x:v>
      </x:c>
      <x:c r="D7" s="3" t="str">
        <x:v>branch.sprout_burst.name</x:v>
      </x:c>
      <x:c r="E7" s="3" t="n">
        <x:v>2</x:v>
      </x:c>
      <x:c r="F7" s="3" t="n">
        <x:v>3</x:v>
      </x:c>
      <x:c r="G7" s="11" t="n">
        <x:v>15</x:v>
      </x:c>
      <x:c r="H7" s="11" t="n">
        <x:v>0.72</x:v>
      </x:c>
      <x:c r="I7" s="11" t="n">
        <x:v>106</x:v>
      </x:c>
      <x:c r="J7" s="16" t="n">
        <x:v>2</x:v>
      </x:c>
      <x:c r="K7" s="11" t="n">
        <x:v>0.1</x:v>
      </x:c>
      <x:c r="L7" s="16" t="n">
        <x:v>1</x:v>
      </x:c>
      <x:c r="M7" s="11" t="n">
        <x:v>1</x:v>
      </x:c>
      <x:c r="N7" s="11" t="n">
        <x:v>0</x:v>
      </x:c>
      <x:c r="O7" s="11" t="n">
        <x:v>0</x:v>
      </x:c>
      <x:c r="P7" s="11" t="n">
        <x:v>1</x:v>
      </x:c>
      <x:c r="Q7" s="3" t="n">
        <x:f>'现行基线'!F27</x:f>
        <x:v>85</x:v>
      </x:c>
      <x:c r="R7" s="3" t="str">
        <x:v>sprout</x:v>
      </x:c>
    </x:row>
    <x:row r="8" ht="25" customHeight="1">
      <x:c r="A8" s="3" t="n">
        <x:v>3</x:v>
      </x:c>
      <x:c r="B8" s="3" t="str">
        <x:v>frost_deep</x:v>
      </x:c>
      <x:c r="C8" s="3" t="str">
        <x:v>frost</x:v>
      </x:c>
      <x:c r="D8" s="3" t="str">
        <x:v>branch.frost_deep.name</x:v>
      </x:c>
      <x:c r="E8" s="3" t="n">
        <x:v>2</x:v>
      </x:c>
      <x:c r="F8" s="3" t="n">
        <x:v>3</x:v>
      </x:c>
      <x:c r="G8" s="11" t="n">
        <x:v>12</x:v>
      </x:c>
      <x:c r="H8" s="11" t="n">
        <x:v>1.05</x:v>
      </x:c>
      <x:c r="I8" s="11" t="n">
        <x:v>92</x:v>
      </x:c>
      <x:c r="J8" s="16" t="n">
        <x:v>1</x:v>
      </x:c>
      <x:c r="K8" s="11" t="n">
        <x:v>0</x:v>
      </x:c>
      <x:c r="L8" s="16" t="n">
        <x:v>1</x:v>
      </x:c>
      <x:c r="M8" s="11" t="n">
        <x:v>0.45</x:v>
      </x:c>
      <x:c r="N8" s="11" t="n">
        <x:v>1.6</x:v>
      </x:c>
      <x:c r="O8" s="11" t="n">
        <x:v>0</x:v>
      </x:c>
      <x:c r="P8" s="11" t="n">
        <x:v>1</x:v>
      </x:c>
      <x:c r="Q8" s="3" t="n">
        <x:f>'现行基线'!F30</x:f>
        <x:v>110</x:v>
      </x:c>
      <x:c r="R8" s="3" t="str">
        <x:v>frost</x:v>
      </x:c>
    </x:row>
    <x:row r="9" ht="25" customHeight="1">
      <x:c r="A9" s="3" t="n">
        <x:v>4</x:v>
      </x:c>
      <x:c r="B9" s="3" t="str">
        <x:v>frost_dual</x:v>
      </x:c>
      <x:c r="C9" s="3" t="str">
        <x:v>frost</x:v>
      </x:c>
      <x:c r="D9" s="3" t="str">
        <x:v>branch.frost_dual.name</x:v>
      </x:c>
      <x:c r="E9" s="3" t="n">
        <x:v>2</x:v>
      </x:c>
      <x:c r="F9" s="3" t="n">
        <x:v>3</x:v>
      </x:c>
      <x:c r="G9" s="11" t="n">
        <x:v>12</x:v>
      </x:c>
      <x:c r="H9" s="11" t="n">
        <x:v>1</x:v>
      </x:c>
      <x:c r="I9" s="11" t="n">
        <x:v>108</x:v>
      </x:c>
      <x:c r="J9" s="16" t="n">
        <x:v>1</x:v>
      </x:c>
      <x:c r="K9" s="11" t="n">
        <x:v>0</x:v>
      </x:c>
      <x:c r="L9" s="16" t="n">
        <x:v>2</x:v>
      </x:c>
      <x:c r="M9" s="11" t="n">
        <x:v>0.7</x:v>
      </x:c>
      <x:c r="N9" s="11" t="n">
        <x:v>1.3</x:v>
      </x:c>
      <x:c r="O9" s="11" t="n">
        <x:v>0</x:v>
      </x:c>
      <x:c r="P9" s="11" t="n">
        <x:v>1</x:v>
      </x:c>
      <x:c r="Q9" s="3" t="n">
        <x:f>'现行基线'!F30</x:f>
        <x:v>110</x:v>
      </x:c>
      <x:c r="R9" s="3" t="str">
        <x:v>frost</x:v>
      </x:c>
    </x:row>
    <x:row r="10" ht="25" customHeight="1">
      <x:c r="A10" s="3" t="n">
        <x:v>5</x:v>
      </x:c>
      <x:c r="B10" s="3" t="str">
        <x:v>bloom_focus</x:v>
      </x:c>
      <x:c r="C10" s="3" t="str">
        <x:v>bloom</x:v>
      </x:c>
      <x:c r="D10" s="3" t="str">
        <x:v>branch.bloom_focus.name</x:v>
      </x:c>
      <x:c r="E10" s="3" t="n">
        <x:v>2</x:v>
      </x:c>
      <x:c r="F10" s="3" t="n">
        <x:v>3</x:v>
      </x:c>
      <x:c r="G10" s="11" t="n">
        <x:v>64</x:v>
      </x:c>
      <x:c r="H10" s="11" t="n">
        <x:v>1.4</x:v>
      </x:c>
      <x:c r="I10" s="11" t="n">
        <x:v>110</x:v>
      </x:c>
      <x:c r="J10" s="16" t="n">
        <x:v>1</x:v>
      </x:c>
      <x:c r="K10" s="11" t="n">
        <x:v>0</x:v>
      </x:c>
      <x:c r="L10" s="16" t="n">
        <x:v>1</x:v>
      </x:c>
      <x:c r="M10" s="11" t="n">
        <x:v>1</x:v>
      </x:c>
      <x:c r="N10" s="11" t="n">
        <x:v>0</x:v>
      </x:c>
      <x:c r="O10" s="11" t="n">
        <x:v>26</x:v>
      </x:c>
      <x:c r="P10" s="11" t="n">
        <x:v>0.45</x:v>
      </x:c>
      <x:c r="Q10" s="3" t="n">
        <x:f>'现行基线'!F33</x:f>
        <x:v>150</x:v>
      </x:c>
      <x:c r="R10" s="3" t="str">
        <x:v>bloom</x:v>
      </x:c>
    </x:row>
    <x:row r="11" ht="25" customHeight="1">
      <x:c r="A11" s="3" t="n">
        <x:v>6</x:v>
      </x:c>
      <x:c r="B11" s="3" t="str">
        <x:v>bloom_wide</x:v>
      </x:c>
      <x:c r="C11" s="3" t="str">
        <x:v>bloom</x:v>
      </x:c>
      <x:c r="D11" s="3" t="str">
        <x:v>branch.bloom_wide.name</x:v>
      </x:c>
      <x:c r="E11" s="3" t="n">
        <x:v>2</x:v>
      </x:c>
      <x:c r="F11" s="3" t="n">
        <x:v>3</x:v>
      </x:c>
      <x:c r="G11" s="11" t="n">
        <x:v>35</x:v>
      </x:c>
      <x:c r="H11" s="11" t="n">
        <x:v>1.2</x:v>
      </x:c>
      <x:c r="I11" s="11" t="n">
        <x:v>118</x:v>
      </x:c>
      <x:c r="J11" s="16" t="n">
        <x:v>1</x:v>
      </x:c>
      <x:c r="K11" s="11" t="n">
        <x:v>0</x:v>
      </x:c>
      <x:c r="L11" s="16" t="n">
        <x:v>1</x:v>
      </x:c>
      <x:c r="M11" s="11" t="n">
        <x:v>1</x:v>
      </x:c>
      <x:c r="N11" s="11" t="n">
        <x:v>0</x:v>
      </x:c>
      <x:c r="O11" s="11" t="n">
        <x:v>54</x:v>
      </x:c>
      <x:c r="P11" s="11" t="n">
        <x:v>1</x:v>
      </x:c>
      <x:c r="Q11" s="3" t="n">
        <x:f>'现行基线'!F33</x:f>
        <x:v>150</x:v>
      </x:c>
      <x:c r="R11" s="3" t="str">
        <x:v>bloom</x:v>
      </x:c>
    </x:row>
    <x:row r="12" ht="2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</x:row>
    <x:row r="13" ht="40" customHeight="1">
      <x:c r="A13" s="4" t="str">
        <x:v>仅设计草案。将来拆出独立StaffBranch.xlsx并接入schema/导表器；本工作簿位于design/proposals，不参与当前19张客户端表导出。所有分支字段为三级最终值，不再叠乘Global升级系数。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</x:row>
    <x:row r="14" ht="2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</x:row>
    <x:row r="15" ht="2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</x:row>
    <x:row r="17" ht="2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</x:row>
    <x:row r="19" ht="2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</x:row>
    <x:row r="20" ht="2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</x:row>
    <x:row r="21" ht="2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</x:row>
    <x:row r="24" ht="2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</x:row>
    <x:row r="25" ht="2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</x:row>
    <x:row r="26" ht="2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</x:row>
    <x:row r="27" ht="2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</x:row>
    <x:row r="29" ht="2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</x:row>
    <x:row r="30" ht="2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</x:row>
  </x:sheetData>
  <x:mergeCells>
    <x:mergeCell ref="A13:R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9" hidden="0" customWidth="1"/>
    <x:col min="6" max="6" width="19" hidden="0" customWidth="1"/>
    <x:col min="7" max="7" width="1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40" customHeight="1">
      <x:c r="A2" s="6" t="str">
        <x:v>理想场景估算 · 用于发现取舍，不代替战斗模拟</x:v>
      </x:c>
      <x:c r="B2" s="6"/>
      <x:c r="C2" s="6"/>
      <x:c r="D2" s="6"/>
      <x:c r="E2" s="6"/>
      <x:c r="F2" s="6"/>
      <x:c r="G2" s="6"/>
      <x:c r="H2" s="6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40" customHeight="1">
      <x:c r="A3" s="3" t="str">
        <x:v>豆包样本敌人数</x:v>
      </x:c>
      <x:c r="B3" s="3" t="n">
        <x:v>20</x:v>
      </x:c>
      <x:c r="C3" s="4" t="str">
        <x:v>忽略弹道飞行、怪物移动和离开射程；目标始终可选，首发在t=0；连投第二发允许重新索敌。时间越短越好。</x:v>
      </x:c>
      <x:c r="D3" s="4"/>
      <x:c r="E3" s="4"/>
      <x:c r="F3" s="4"/>
      <x:c r="G3" s="4"/>
      <x:c r="H3" s="4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34" customHeight="1">
      <x:c r="A5" s="10" t="str">
        <x:v>基础耐久样本</x:v>
      </x:c>
      <x:c r="B5" s="10" t="str">
        <x:v>耐久</x:v>
      </x:c>
      <x:c r="C5" s="10" t="str">
        <x:v>现行三级/秒</x:v>
      </x:c>
      <x:c r="D5" s="10" t="str">
        <x:v>重投/秒</x:v>
      </x:c>
      <x:c r="E5" s="10" t="str">
        <x:v>连投/秒</x:v>
      </x:c>
      <x:c r="F5" s="10" t="str">
        <x:v>较快分支</x:v>
      </x:c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5" customHeight="1">
      <x:c r="A6" s="3" t="str">
        <x:v>小纸袋怪</x:v>
      </x:c>
      <x:c r="B6" s="3" t="n">
        <x:v>58</x:v>
      </x:c>
      <x:c r="C6" s="11" t="n">
        <x:f>($B$3*ROUNDUP(B6/'现行基线'!C27,0)-1)*'现行基线'!D27</x:f>
        <x:v>34.258064516129025</x:v>
      </x:c>
      <x:c r="D6" s="11" t="n">
        <x:f>($B$3*ROUNDUP(B6/'StaffBranch草案'!G6,0)-1)*'StaffBranch草案'!H6</x:f>
        <x:v>37.44</x:v>
      </x:c>
      <x:c r="E6" s="11" t="n">
        <x:f>INT(($B$3*ROUNDUP(B6/'StaffBranch草案'!G7,0)-1)/'StaffBranch草案'!J7)*'StaffBranch草案'!H7+MOD(($B$3*ROUNDUP(B6/'StaffBranch草案'!G7,0)-1),'StaffBranch草案'!J7)*'StaffBranch草案'!K7</x:f>
        <x:v>28.18</x:v>
      </x:c>
      <x:c r="F6" s="3" t="str">
        <x:f>IF(D6&lt;E6,"重投",IF(D6&gt;E6,"连投","相同"))</x:f>
        <x:v>连投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</x:row>
    <x:row r="7" ht="25" customHeight="1">
      <x:c r="A7" s="3" t="str">
        <x:v>红汽水罐</x:v>
      </x:c>
      <x:c r="B7" s="3" t="n">
        <x:v>44</x:v>
      </x:c>
      <x:c r="C7" s="11" t="n">
        <x:f>($B$3*ROUNDUP(B7/'现行基线'!C27,0)-1)*'现行基线'!D27</x:f>
        <x:v>22.645161290322577</x:v>
      </x:c>
      <x:c r="D7" s="11" t="n">
        <x:f>($B$3*ROUNDUP(B7/'StaffBranch草案'!G6,0)-1)*'StaffBranch草案'!H6</x:f>
        <x:v>37.44</x:v>
      </x:c>
      <x:c r="E7" s="11" t="n">
        <x:f>INT(($B$3*ROUNDUP(B7/'StaffBranch草案'!G7,0)-1)/'StaffBranch草案'!J7)*'StaffBranch草案'!H7+MOD(($B$3*ROUNDUP(B7/'StaffBranch草案'!G7,0)-1),'StaffBranch草案'!J7)*'StaffBranch草案'!K7</x:f>
        <x:v>20.98</x:v>
      </x:c>
      <x:c r="F7" s="3" t="str">
        <x:f>IF(D7&lt;E7,"重投",IF(D7&gt;E7,"连投","相同"))</x:f>
        <x:v>连投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</x:row>
    <x:row r="8" ht="25" customHeight="1">
      <x:c r="A8" s="3" t="str">
        <x:v>快递纸箱怪</x:v>
      </x:c>
      <x:c r="B8" s="3" t="n">
        <x:v>190</x:v>
      </x:c>
      <x:c r="C8" s="11" t="n">
        <x:f>($B$3*ROUNDUP(B8/'现行基线'!C27,0)-1)*'现行基线'!D27</x:f>
        <x:v>92.32258064516128</x:v>
      </x:c>
      <x:c r="D8" s="11" t="n">
        <x:f>($B$3*ROUNDUP(B8/'StaffBranch草案'!G6,0)-1)*'StaffBranch草案'!H6</x:f>
        <x:v>95.03999999999999</x:v>
      </x:c>
      <x:c r="E8" s="11" t="n">
        <x:f>INT(($B$3*ROUNDUP(B8/'StaffBranch草案'!G7,0)-1)/'StaffBranch草案'!J7)*'StaffBranch草案'!H7+MOD(($B$3*ROUNDUP(B8/'StaffBranch草案'!G7,0)-1),'StaffBranch草案'!J7)*'StaffBranch草案'!K7</x:f>
        <x:v>92.97999999999999</x:v>
      </x:c>
      <x:c r="F8" s="3" t="str">
        <x:f>IF(D8&lt;E8,"重投",IF(D8&gt;E8,"连投","相同"))</x:f>
        <x:v>连投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</x:row>
    <x:row r="9" ht="25" customHeight="1">
      <x:c r="A9" s="3" t="str">
        <x:v>铁罐卫士</x:v>
      </x:c>
      <x:c r="B9" s="3" t="n">
        <x:v>122</x:v>
      </x:c>
      <x:c r="C9" s="11" t="n">
        <x:f>($B$3*ROUNDUP(B9/'现行基线'!C27,0)-1)*'现行基线'!D27</x:f>
        <x:v>57.48387096774193</x:v>
      </x:c>
      <x:c r="D9" s="11" t="n">
        <x:f>($B$3*ROUNDUP(B9/'StaffBranch草案'!G6,0)-1)*'StaffBranch草案'!H6</x:f>
        <x:v>56.64</x:v>
      </x:c>
      <x:c r="E9" s="11" t="n">
        <x:f>INT(($B$3*ROUNDUP(B9/'StaffBranch草案'!G7,0)-1)/'StaffBranch草案'!J7)*'StaffBranch草案'!H7+MOD(($B$3*ROUNDUP(B9/'StaffBranch草案'!G7,0)-1),'StaffBranch草案'!J7)*'StaffBranch草案'!K7</x:f>
        <x:v>64.17999999999999</x:v>
      </x:c>
      <x:c r="F9" s="3" t="str">
        <x:f>IF(D9&lt;E9,"重投",IF(D9&gt;E9,"连投","相同"))</x:f>
        <x:v>重投</x:v>
      </x:c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</x:row>
    <x:row r="10" ht="25" customHeight="1">
      <x:c r="A10" s="3" t="str">
        <x:v>果冻夜游者</x:v>
      </x:c>
      <x:c r="B10" s="3" t="n">
        <x:v>98</x:v>
      </x:c>
      <x:c r="C10" s="11" t="n">
        <x:f>($B$3*ROUNDUP(B10/'现行基线'!C27,0)-1)*'现行基线'!D27</x:f>
        <x:v>57.48387096774193</x:v>
      </x:c>
      <x:c r="D10" s="11" t="n">
        <x:f>($B$3*ROUNDUP(B10/'StaffBranch草案'!G6,0)-1)*'StaffBranch草案'!H6</x:f>
        <x:v>56.64</x:v>
      </x:c>
      <x:c r="E10" s="11" t="n">
        <x:f>INT(($B$3*ROUNDUP(B10/'StaffBranch草案'!G7,0)-1)/'StaffBranch草案'!J7)*'StaffBranch草案'!H7+MOD(($B$3*ROUNDUP(B10/'StaffBranch草案'!G7,0)-1),'StaffBranch草案'!J7)*'StaffBranch草案'!K7</x:f>
        <x:v>49.78</x:v>
      </x:c>
      <x:c r="F10" s="3" t="str">
        <x:f>IF(D10&lt;E10,"重投",IF(D10&gt;E10,"连投","相同"))</x:f>
        <x:v>连投</x:v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</x:row>
    <x:row r="11" ht="2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</x:row>
    <x:row r="12" ht="40" customHeight="1">
      <x:c r="A12" s="4" t="str">
        <x:v>耐久来源：Enemy.csv当前基础值；真实关卡还乘Level、Wave与逐波倍率。该小样本不用于宣称哪条分支在全部关卡更强。</x:v>
      </x:c>
      <x:c r="B12" s="4"/>
      <x:c r="C12" s="4"/>
      <x:c r="D12" s="4"/>
      <x:c r="E12" s="4"/>
      <x:c r="F12" s="4"/>
      <x:c r="G12" s="4"/>
      <x:c r="H12" s="4"/>
      <x:c r="I12" s="3"/>
      <x:c r="J12" s="3"/>
      <x:c r="K12" s="3"/>
      <x:c r="L12" s="3"/>
      <x:c r="M12" s="3"/>
      <x:c r="N12" s="3"/>
      <x:c r="O12" s="3"/>
      <x:c r="P12" s="3"/>
      <x:c r="Q12" s="3"/>
      <x:c r="R12" s="3"/>
    </x:row>
    <x:row r="13" ht="2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</x:row>
    <x:row r="14" ht="2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</x:row>
    <x:row r="15" ht="34" customHeight="1">
      <x:c r="A15" s="10" t="str">
        <x:v>布丁覆盖场景</x:v>
      </x:c>
      <x:c r="B15" s="10" t="str">
        <x:v>旧覆盖数</x:v>
      </x:c>
      <x:c r="C15" s="10" t="str">
        <x:v>集中覆盖数</x:v>
      </x:c>
      <x:c r="D15" s="10" t="str">
        <x:v>广域覆盖数</x:v>
      </x:c>
      <x:c r="E15" s="10" t="str">
        <x:v>现行总DPS</x:v>
      </x:c>
      <x:c r="F15" s="10" t="str">
        <x:v>集中总DPS</x:v>
      </x:c>
      <x:c r="G15" s="10" t="str">
        <x:v>广域总DPS</x:v>
      </x:c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</x:row>
    <x:row r="16" ht="25" customHeight="1">
      <x:c r="A16" s="3" t="str">
        <x:v>单目标</x:v>
      </x:c>
      <x:c r="B16" s="3" t="n">
        <x:v>1</x:v>
      </x:c>
      <x:c r="C16" s="3" t="n">
        <x:v>1</x:v>
      </x:c>
      <x:c r="D16" s="3" t="n">
        <x:v>1</x:v>
      </x:c>
      <x:c r="E16" s="11" t="n">
        <x:f>B16*'现行基线'!H33</x:f>
        <x:v>38.27684210526316</x:v>
      </x:c>
      <x:c r="F16" s="11" t="n">
        <x:f>'StaffBranch草案'!G10*(1+(C16-1)*'StaffBranch草案'!P10)/'StaffBranch草案'!H10</x:f>
        <x:v>45.714285714285715</x:v>
      </x:c>
      <x:c r="G16" s="11" t="n">
        <x:f>D16*'StaffBranch草案'!G11/'StaffBranch草案'!H11</x:f>
        <x:v>29.166666666666668</x:v>
      </x:c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</x:row>
    <x:row r="17" ht="25" customHeight="1">
      <x:c r="A17" s="3" t="str">
        <x:v>相同密集覆盖</x:v>
      </x:c>
      <x:c r="B17" s="3" t="n">
        <x:v>3</x:v>
      </x:c>
      <x:c r="C17" s="3" t="n">
        <x:v>3</x:v>
      </x:c>
      <x:c r="D17" s="3" t="n">
        <x:v>3</x:v>
      </x:c>
      <x:c r="E17" s="11" t="n">
        <x:f>B17*'现行基线'!H33</x:f>
        <x:v>114.83052631578947</x:v>
      </x:c>
      <x:c r="F17" s="11" t="n">
        <x:f>'StaffBranch草案'!G10*(1+(C17-1)*'StaffBranch草案'!P10)/'StaffBranch草案'!H10</x:f>
        <x:v>86.85714285714286</x:v>
      </x:c>
      <x:c r="G17" s="11" t="n">
        <x:f>D17*'StaffBranch草案'!G11/'StaffBranch草案'!H11</x:f>
        <x:v>87.5</x:v>
      </x:c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</x:row>
    <x:row r="18" ht="25" customHeight="1">
      <x:c r="A18" s="3" t="str">
        <x:v>广域多覆盖1只</x:v>
      </x:c>
      <x:c r="B18" s="3" t="n">
        <x:v>2</x:v>
      </x:c>
      <x:c r="C18" s="3" t="n">
        <x:v>2</x:v>
      </x:c>
      <x:c r="D18" s="3" t="n">
        <x:v>3</x:v>
      </x:c>
      <x:c r="E18" s="11" t="n">
        <x:f>B18*'现行基线'!H33</x:f>
        <x:v>76.55368421052631</x:v>
      </x:c>
      <x:c r="F18" s="11" t="n">
        <x:f>'StaffBranch草案'!G10*(1+(C18-1)*'StaffBranch草案'!P10)/'StaffBranch草案'!H10</x:f>
        <x:v>66.28571428571429</x:v>
      </x:c>
      <x:c r="G18" s="11" t="n">
        <x:f>D18*'StaffBranch草案'!G11/'StaffBranch草案'!H11</x:f>
        <x:v>87.5</x:v>
      </x:c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</x:row>
    <x:row r="19" ht="2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</x:row>
    <x:row r="20" ht="2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</x:row>
    <x:row r="21" ht="40" customHeight="1">
      <x:c r="A21" s="3" t="str">
        <x:v>棉棉对照移速</x:v>
      </x:c>
      <x:c r="B21" s="3" t="n">
        <x:v>21</x:v>
      </x:c>
      <x:c r="C21" s="3" t="str">
        <x:v>协作输出DPS</x:v>
      </x:c>
      <x:c r="D21" s="3" t="n">
        <x:v>80</x:v>
      </x:c>
      <x:c r="E21" s="4" t="str">
        <x:v>21取午夜钟守基础移速；80为假设的同覆盖协作火力，非实际布阵保证。直线穿过射程直径且全程减速。</x:v>
      </x:c>
      <x:c r="F21" s="4"/>
      <x:c r="G21" s="4"/>
      <x:c r="H21" s="4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</x:row>
    <x:row r="24" ht="34" customHeight="1">
      <x:c r="A24" s="10" t="str">
        <x:v>棉棉方案</x:v>
      </x:c>
      <x:c r="B24" s="10" t="str">
        <x:v>射程</x:v>
      </x:c>
      <x:c r="C24" s="10" t="str">
        <x:v>减速后速度</x:v>
      </x:c>
      <x:c r="D24" s="10" t="str">
        <x:v>自身DPS</x:v>
      </x:c>
      <x:c r="E24" s="10" t="str">
        <x:v>停留时间/秒</x:v>
      </x:c>
      <x:c r="F24" s="10" t="str">
        <x:v>含队友总伤害</x:v>
      </x:c>
      <x:c r="G24" s="10" t="str">
        <x:v>对原三级</x:v>
      </x:c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</x:row>
    <x:row r="25" ht="25" customHeight="1">
      <x:c r="A25" s="3" t="str">
        <x:v>现行三级</x:v>
      </x:c>
      <x:c r="B25" s="11" t="n">
        <x:f>'现行基线'!E30</x:f>
        <x:v>99.75999999999999</x:v>
      </x:c>
      <x:c r="C25" s="11" t="n">
        <x:f>'现行基线'!I30</x:f>
        <x:v>0.57</x:v>
      </x:c>
      <x:c r="D25" s="11" t="n">
        <x:f>'现行基线'!H30</x:f>
        <x:v>18.737777777777776</x:v>
      </x:c>
      <x:c r="E25" s="11" t="n">
        <x:f>2*B25/($B$21*C25)</x:f>
        <x:v>16.668337510442775</x:v>
      </x:c>
      <x:c r="F25" s="11" t="n">
        <x:f>(D25+$D$21)*E25</x:f>
        <x:v>1645.7946050310964</x:v>
      </x:c>
      <x:c r="G25" s="21" t="n">
        <x:f>F25/$F$25-1</x:f>
        <x:v>0</x:v>
      </x:c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</x:row>
    <x:row r="26" ht="25" customHeight="1">
      <x:c r="A26" s="3" t="str">
        <x:v>深冷</x:v>
      </x:c>
      <x:c r="B26" s="11" t="n">
        <x:f>'StaffBranch草案'!I8</x:f>
        <x:v>92</x:v>
      </x:c>
      <x:c r="C26" s="11" t="n">
        <x:f>'StaffBranch草案'!M8</x:f>
        <x:v>0.45</x:v>
      </x:c>
      <x:c r="D26" s="11" t="n">
        <x:f>'StaffBranch草案'!G8/'StaffBranch草案'!H8</x:f>
        <x:v>11.428571428571429</x:v>
      </x:c>
      <x:c r="E26" s="11" t="n">
        <x:f>2*B26/($B$21*C26)</x:f>
        <x:v>19.470899470899468</x:v>
      </x:c>
      <x:c r="F26" s="11" t="n">
        <x:f>(D26+$D$21)*E26</x:f>
        <x:v>1780.1965230536657</x:v>
      </x:c>
      <x:c r="G26" s="21" t="n">
        <x:f>F26/$F$25-1</x:f>
        <x:v>0.0816638465162729</x:v>
      </x:c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</x:row>
    <x:row r="27" ht="25" customHeight="1">
      <x:c r="A27" s="3" t="str">
        <x:v>双向冷风</x:v>
      </x:c>
      <x:c r="B27" s="11" t="n">
        <x:f>'StaffBranch草案'!I9</x:f>
        <x:v>108</x:v>
      </x:c>
      <x:c r="C27" s="11" t="n">
        <x:f>'StaffBranch草案'!M9</x:f>
        <x:v>0.7</x:v>
      </x:c>
      <x:c r="D27" s="11" t="n">
        <x:f>'StaffBranch草案'!G9/'StaffBranch草案'!H9</x:f>
        <x:v>12</x:v>
      </x:c>
      <x:c r="E27" s="11" t="n">
        <x:f>2*B27/($B$21*C27)</x:f>
        <x:v>14.693877551020408</x:v>
      </x:c>
      <x:c r="F27" s="11" t="n">
        <x:f>(D27+$D$21)*E27</x:f>
        <x:v>1351.8367346938776</x:v>
      </x:c>
      <x:c r="G27" s="21" t="n">
        <x:f>F27/$F$25-1</x:f>
        <x:v>-0.17861151655170515</x:v>
      </x:c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</x:row>
    <x:row r="29" ht="2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</x:row>
    <x:row r="30" ht="40" customHeight="1">
      <x:c r="A30" s="4" t="str">
        <x:v>边界：单目标只吃一份棉棉攻击；多种减速不相乘，各自到期，取当前最强减速。深冷可能显著放大队友输出，正式验证须覆盖第5/10/15/20关。</x:v>
      </x:c>
      <x:c r="B30" s="4"/>
      <x:c r="C30" s="4"/>
      <x:c r="D30" s="4"/>
      <x:c r="E30" s="4"/>
      <x:c r="F30" s="4"/>
      <x:c r="G30" s="4"/>
      <x:c r="H30" s="4"/>
      <x:c r="I30" s="3"/>
      <x:c r="J30" s="3"/>
      <x:c r="K30" s="3"/>
      <x:c r="L30" s="3"/>
      <x:c r="M30" s="3"/>
      <x:c r="N30" s="3"/>
      <x:c r="O30" s="3"/>
      <x:c r="P30" s="3"/>
      <x:c r="Q30" s="3"/>
      <x:c r="R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</x:row>
  </x:sheetData>
  <x:mergeCells>
    <x:mergeCell ref="A2:H2"/>
    <x:mergeCell ref="C3:H3"/>
    <x:mergeCell ref="A12:H12"/>
    <x:mergeCell ref="E21:H21"/>
    <x:mergeCell ref="A30:H30"/>
  </x:mergeCells>
  <x:pageMargins left="0.7" right="0.7" top="0.75" bottom="0.75" header="0.3" footer="0.3"/>
</x:worksheet>
</file>